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" sheetId="1" state="visible" r:id="rId1"/>
    <sheet xmlns:r="http://schemas.openxmlformats.org/officeDocument/2006/relationships" name="ตารางเวลาหมอนวด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เช็คคิวว่าง" sheetId="4" state="visible" r:id="rId4"/>
    <sheet xmlns:r="http://schemas.openxmlformats.org/officeDocument/2006/relationships" name="ราคาคอร์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i val="1"/>
      <sz val="10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b val="1"/>
      <color rgb="00FFFFFF"/>
      <sz val="14"/>
    </font>
    <font>
      <name val="Arial"/>
      <b val="1"/>
      <sz val="11"/>
    </font>
    <font>
      <name val="Arial"/>
      <b val="1"/>
      <sz val="15"/>
    </font>
    <font>
      <name val="Arial"/>
      <b val="1"/>
      <color rgb="00FFFFFF"/>
      <sz val="13"/>
    </font>
    <font>
      <name val="Arial"/>
      <b val="1"/>
      <sz val="16"/>
    </font>
  </fonts>
  <fills count="9">
    <fill>
      <patternFill/>
    </fill>
    <fill>
      <patternFill patternType="gray125"/>
    </fill>
    <fill>
      <patternFill patternType="solid">
        <fgColor rgb="00241811"/>
        <bgColor rgb="00241811"/>
      </patternFill>
    </fill>
    <fill>
      <patternFill patternType="solid">
        <fgColor rgb="006B4A32"/>
        <bgColor rgb="006B4A32"/>
      </patternFill>
    </fill>
    <fill>
      <patternFill patternType="solid">
        <fgColor rgb="00F4EEE0"/>
        <bgColor rgb="00F4EEE0"/>
      </patternFill>
    </fill>
    <fill>
      <patternFill patternType="solid">
        <fgColor rgb="00D9E2F3"/>
        <bgColor rgb="00D9E2F3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CE5CD"/>
        <bgColor rgb="00FCE5CD"/>
      </patternFill>
    </fill>
  </fills>
  <borders count="11">
    <border>
      <left/>
      <right/>
      <top/>
      <bottom/>
      <diagonal/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/>
      <right/>
      <top style="thin">
        <color rgb="00C9A24B"/>
      </top>
      <bottom/>
      <diagonal/>
    </border>
    <border>
      <left/>
      <right style="thin">
        <color rgb="00C9A24B"/>
      </right>
      <top style="thin">
        <color rgb="00C9A24B"/>
      </top>
      <bottom/>
      <diagonal/>
    </border>
    <border>
      <left/>
      <right style="thin">
        <color rgb="00C9A24B"/>
      </right>
      <top style="thin">
        <color rgb="00C9A24B"/>
      </top>
      <bottom style="thin">
        <color rgb="00C9A24B"/>
      </bottom>
      <diagonal/>
    </border>
    <border/>
    <border>
      <left style="thin">
        <color rgb="00C9A24B"/>
      </left>
      <right/>
      <top/>
      <bottom/>
      <diagonal/>
    </border>
    <border>
      <left/>
      <right style="thin">
        <color rgb="00C9A24B"/>
      </right>
      <top/>
      <bottom/>
      <diagonal/>
    </border>
    <border>
      <left style="thin">
        <color rgb="00C9A24B"/>
      </left>
      <right/>
      <top/>
      <bottom style="thin">
        <color rgb="00C9A24B"/>
      </bottom>
      <diagonal/>
    </border>
    <border>
      <left/>
      <right style="thin">
        <color rgb="00C9A24B"/>
      </right>
      <top/>
      <bottom style="thin">
        <color rgb="00C9A24B"/>
      </bottom>
      <diagonal/>
    </border>
    <border>
      <left style="thin">
        <color rgb="00D9CBB0"/>
      </left>
      <right style="thin">
        <color rgb="00D9CBB0"/>
      </right>
      <top style="thin">
        <color rgb="00D9CBB0"/>
      </top>
      <bottom style="thin">
        <color rgb="00D9CBB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vertical="center" wrapText="1"/>
    </xf>
    <xf numFmtId="0" fontId="7" fillId="4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6" fillId="4" borderId="1" applyAlignment="1" pivotButton="0" quotePrefix="0" xfId="0">
      <alignment vertical="center"/>
    </xf>
    <xf numFmtId="0" fontId="9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vertical="center" wrapText="1"/>
    </xf>
    <xf numFmtId="0" fontId="2" fillId="4" borderId="1" pivotButton="0" quotePrefix="0" xfId="0"/>
    <xf numFmtId="0" fontId="10" fillId="4" borderId="1" applyAlignment="1" pivotButton="0" quotePrefix="0" xfId="0">
      <alignment vertical="center"/>
    </xf>
    <xf numFmtId="0" fontId="11" fillId="4" borderId="1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vertical="center"/>
    </xf>
    <xf numFmtId="0" fontId="1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4CCCC"/>
          <bgColor rgb="00F4CCCC"/>
        </patternFill>
      </fill>
    </dxf>
    <dxf>
      <fill>
        <patternFill patternType="solid">
          <fgColor rgb="00D9EAD3"/>
          <b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34" customWidth="1" min="4" max="4"/>
    <col width="16" customWidth="1" min="5" max="5"/>
  </cols>
  <sheetData>
    <row r="1">
      <c r="A1" s="6" t="inlineStr">
        <is>
          <t>ID</t>
        </is>
      </c>
      <c r="B1" s="6" t="inlineStr">
        <is>
          <t>Name_TH</t>
        </is>
      </c>
      <c r="C1" s="6" t="inlineStr">
        <is>
          <t>Name_EN</t>
        </is>
      </c>
      <c r="D1" s="6" t="inlineStr">
        <is>
          <t>Photo_URL</t>
        </is>
      </c>
      <c r="E1" s="6" t="inlineStr">
        <is>
          <t>Working_Today</t>
        </is>
      </c>
    </row>
    <row r="2">
      <c r="A2" s="2" t="n">
        <v>1</v>
      </c>
      <c r="B2" s="2" t="inlineStr">
        <is>
          <t>ภา</t>
        </is>
      </c>
      <c r="C2" s="2" t="inlineStr">
        <is>
          <t>Pa</t>
        </is>
      </c>
      <c r="D2" s="2" t="inlineStr"/>
      <c r="E2" s="2" t="inlineStr">
        <is>
          <t>ทำงาน</t>
        </is>
      </c>
    </row>
    <row r="3">
      <c r="A3" s="2" t="n">
        <v>2</v>
      </c>
      <c r="B3" s="2" t="inlineStr">
        <is>
          <t>เมล</t>
        </is>
      </c>
      <c r="C3" s="2" t="inlineStr">
        <is>
          <t>Mel</t>
        </is>
      </c>
      <c r="D3" s="2" t="inlineStr"/>
      <c r="E3" s="2" t="inlineStr">
        <is>
          <t>ทำงาน</t>
        </is>
      </c>
    </row>
    <row r="5">
      <c r="A5" s="3" t="inlineStr">
        <is>
          <t>คำอธิบาย:</t>
        </is>
      </c>
    </row>
    <row r="6">
      <c r="A6" s="4" t="inlineStr">
        <is>
          <t>แท็บนี้เก็บแค่ข้อมูลประจำตัวหมอนวด (ชื่อ/รูป) เพิ่มแถวได้เมื่อมีหมอนวดคนใหม่</t>
        </is>
      </c>
    </row>
    <row r="7">
      <c r="A7" s="4" t="inlineStr">
        <is>
          <t>ID ต้องไม่ซ้ำกัน และต้องตรงกับคอลัมน์ Therapist_ID ในแท็บ "ตารางเวลาหมอนวด"</t>
        </is>
      </c>
    </row>
    <row r="8">
      <c r="A8" s="4" t="inlineStr">
        <is>
          <t>สถานะว่าง/ไม่ว่าง และคิวถัดไป จะถูกคำนวณอัตโนมัติจากแท็บ "ตารางเวลาหมอนวด" ไม่ต้องกรอกในแท็บนี้แล้ว</t>
        </is>
      </c>
    </row>
    <row r="9">
      <c r="A9" s="4" t="inlineStr">
        <is>
          <t>Working_Today: ใส่ "ทำงาน" ตามปกติ ถ้าหมอนวดคนไหนลา/ไม่มาทำงานวันนี้ ให้เปลี่ยนเป็น "ไม่ทำงาน" (มีดรอปดาวน์ในคอลัมน์ E) การ์ดจะขึ้นเป็น "หยุดวันนี้" แทนสถานะว่าง/ไม่ว่างทันที</t>
        </is>
      </c>
    </row>
    <row r="10">
      <c r="A10" s="4" t="inlineStr">
        <is>
          <t>อย่าลืมเปลี่ยนกลับเป็น "ทำงาน" เมื่อหมอนวดกลับมาทำงานตามปกติ (คอลัมน์นี้ไม่ได้ถูกรีเซ็ตอัตโนมัติทุกวัน ต้องแก้เองตามตารางเข้างานจริง)</t>
        </is>
      </c>
    </row>
  </sheetData>
  <dataValidations count="1">
    <dataValidation sqref="E2:E200" showDropDown="0" showInputMessage="0" showErrorMessage="0" allowBlank="1" type="list">
      <formula1>"ทำงาน,ไม่ทำงาน"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8" customWidth="1" min="5" max="5"/>
    <col width="13" customWidth="1" min="6" max="6"/>
    <col width="16" customWidth="1" min="7" max="7"/>
    <col width="10" customWidth="1" min="8" max="8"/>
    <col width="10" customWidth="1" min="9" max="9"/>
    <col width="12" customWidth="1" min="10" max="10"/>
    <col width="14" customWidth="1" min="11" max="11"/>
    <col width="13" customWidth="1" min="12" max="12"/>
    <col width="13" customWidth="1" min="13" max="13"/>
  </cols>
  <sheetData>
    <row r="1" ht="30" customHeight="1">
      <c r="A1" s="25" t="inlineStr">
        <is>
          <t>Therapist_ID</t>
        </is>
      </c>
      <c r="B1" s="25" t="inlineStr">
        <is>
          <t>Time_Slot</t>
        </is>
      </c>
      <c r="C1" s="25" t="inlineStr">
        <is>
          <t>Status</t>
        </is>
      </c>
      <c r="D1" s="25" t="inlineStr">
        <is>
          <t>Customer_Note</t>
        </is>
      </c>
      <c r="E1" s="25" t="inlineStr">
        <is>
          <t>ห้อง</t>
        </is>
      </c>
      <c r="F1" s="25" t="inlineStr">
        <is>
          <t>เบอร์โทร</t>
        </is>
      </c>
      <c r="G1" s="25" t="inlineStr">
        <is>
          <t>คอร์สการนวด</t>
        </is>
      </c>
      <c r="H1" s="25" t="inlineStr">
        <is>
          <t>ชั่วโมง</t>
        </is>
      </c>
      <c r="I1" s="25" t="inlineStr">
        <is>
          <t>ราคา</t>
        </is>
      </c>
      <c r="J1" s="25" t="inlineStr">
        <is>
          <t>ประเภทลูกค้า</t>
        </is>
      </c>
      <c r="K1" s="25" t="inlineStr">
        <is>
          <t>หมายเหตุ</t>
        </is>
      </c>
      <c r="L1" s="25" t="inlineStr">
        <is>
          <t>เวลาเริ่มจริง</t>
        </is>
      </c>
      <c r="M1" s="25" t="inlineStr">
        <is>
          <t>เวลาสิ้นสุดจริง</t>
        </is>
      </c>
    </row>
    <row r="2">
      <c r="A2" s="26" t="inlineStr">
        <is>
          <t>1</t>
        </is>
      </c>
      <c r="B2" s="26" t="inlineStr">
        <is>
          <t>12:00</t>
        </is>
      </c>
      <c r="C2" s="27" t="inlineStr">
        <is>
          <t>ไม่ว่าง</t>
        </is>
      </c>
      <c r="D2" s="26" t="inlineStr">
        <is>
          <t>คุณน้อย</t>
        </is>
      </c>
      <c r="E2" s="26" t="inlineStr">
        <is>
          <t>205</t>
        </is>
      </c>
      <c r="F2" s="26" t="inlineStr">
        <is>
          <t>0894360716</t>
        </is>
      </c>
      <c r="G2" s="26" t="inlineStr">
        <is>
          <t>นวดแผนไทย</t>
        </is>
      </c>
      <c r="H2" s="26">
        <f>IFERROR(VLOOKUP(G2,ราคาคอร์ส!$A:$C,2,FALSE)/60,"")</f>
        <v/>
      </c>
      <c r="I2" s="26">
        <f>IFERROR(VLOOKUP(G2,ราคาคอร์ส!$A:$C,3,FALSE),"")</f>
        <v/>
      </c>
      <c r="J2" s="26" t="inlineStr">
        <is>
          <t>Walk-in</t>
        </is>
      </c>
      <c r="K2" s="26" t="n"/>
      <c r="L2" s="26" t="n"/>
      <c r="M2" s="26" t="n"/>
    </row>
    <row r="3">
      <c r="A3" s="26" t="inlineStr">
        <is>
          <t>1</t>
        </is>
      </c>
      <c r="B3" s="26" t="inlineStr">
        <is>
          <t>13:00</t>
        </is>
      </c>
      <c r="C3" s="27" t="inlineStr">
        <is>
          <t>ไม่ว่าง</t>
        </is>
      </c>
      <c r="D3" s="26" t="n"/>
      <c r="E3" s="26" t="n"/>
      <c r="F3" s="26" t="n"/>
      <c r="G3" s="26" t="n"/>
      <c r="H3" s="26">
        <f>IFERROR(VLOOKUP(G3,ราคาคอร์ส!$A:$C,2,FALSE)/60,"")</f>
        <v/>
      </c>
      <c r="I3" s="26">
        <f>IFERROR(VLOOKUP(G3,ราคาคอร์ส!$A:$C,3,FALSE),"")</f>
        <v/>
      </c>
      <c r="J3" s="26" t="n"/>
      <c r="K3" s="26" t="n"/>
      <c r="L3" s="26" t="n"/>
      <c r="M3" s="26" t="n"/>
    </row>
    <row r="4">
      <c r="A4" s="26" t="inlineStr">
        <is>
          <t>1</t>
        </is>
      </c>
      <c r="B4" s="26" t="inlineStr">
        <is>
          <t>14:00</t>
        </is>
      </c>
      <c r="C4" s="28" t="inlineStr">
        <is>
          <t>ว่าง</t>
        </is>
      </c>
      <c r="D4" s="26" t="n"/>
      <c r="E4" s="26" t="n"/>
      <c r="F4" s="26" t="n"/>
      <c r="G4" s="26" t="n"/>
      <c r="H4" s="26">
        <f>IFERROR(VLOOKUP(G4,ราคาคอร์ส!$A:$C,2,FALSE)/60,"")</f>
        <v/>
      </c>
      <c r="I4" s="26">
        <f>IFERROR(VLOOKUP(G4,ราคาคอร์ส!$A:$C,3,FALSE),"")</f>
        <v/>
      </c>
      <c r="J4" s="26" t="n"/>
      <c r="K4" s="26" t="n"/>
      <c r="L4" s="26" t="n"/>
      <c r="M4" s="26" t="n"/>
    </row>
    <row r="5">
      <c r="A5" s="26" t="inlineStr">
        <is>
          <t>1</t>
        </is>
      </c>
      <c r="B5" s="26" t="inlineStr">
        <is>
          <t>15:00</t>
        </is>
      </c>
      <c r="C5" s="28" t="inlineStr">
        <is>
          <t>ว่าง</t>
        </is>
      </c>
      <c r="D5" s="26" t="n"/>
      <c r="E5" s="26" t="n"/>
      <c r="F5" s="26" t="n"/>
      <c r="G5" s="26" t="n"/>
      <c r="H5" s="26">
        <f>IFERROR(VLOOKUP(G5,ราคาคอร์ส!$A:$C,2,FALSE)/60,"")</f>
        <v/>
      </c>
      <c r="I5" s="26">
        <f>IFERROR(VLOOKUP(G5,ราคาคอร์ส!$A:$C,3,FALSE),"")</f>
        <v/>
      </c>
      <c r="J5" s="26" t="n"/>
      <c r="K5" s="26" t="n"/>
      <c r="L5" s="26" t="n"/>
      <c r="M5" s="26" t="n"/>
    </row>
    <row r="6">
      <c r="A6" s="26" t="inlineStr">
        <is>
          <t>1</t>
        </is>
      </c>
      <c r="B6" s="26" t="inlineStr">
        <is>
          <t>16:00</t>
        </is>
      </c>
      <c r="C6" s="28" t="inlineStr">
        <is>
          <t>ว่าง</t>
        </is>
      </c>
      <c r="D6" s="26" t="n"/>
      <c r="E6" s="26" t="n"/>
      <c r="F6" s="26" t="n"/>
      <c r="G6" s="26" t="n"/>
      <c r="H6" s="26">
        <f>IFERROR(VLOOKUP(G6,ราคาคอร์ส!$A:$C,2,FALSE)/60,"")</f>
        <v/>
      </c>
      <c r="I6" s="26">
        <f>IFERROR(VLOOKUP(G6,ราคาคอร์ส!$A:$C,3,FALSE),"")</f>
        <v/>
      </c>
      <c r="J6" s="26" t="n"/>
      <c r="K6" s="26" t="n"/>
      <c r="L6" s="26" t="n"/>
      <c r="M6" s="26" t="n"/>
    </row>
    <row r="7">
      <c r="A7" s="26" t="inlineStr">
        <is>
          <t>1</t>
        </is>
      </c>
      <c r="B7" s="26" t="inlineStr">
        <is>
          <t>17:00</t>
        </is>
      </c>
      <c r="C7" s="28" t="inlineStr">
        <is>
          <t>ว่าง</t>
        </is>
      </c>
      <c r="D7" s="26" t="n"/>
      <c r="E7" s="26" t="n"/>
      <c r="F7" s="26" t="n"/>
      <c r="G7" s="26" t="n"/>
      <c r="H7" s="26">
        <f>IFERROR(VLOOKUP(G7,ราคาคอร์ส!$A:$C,2,FALSE)/60,"")</f>
        <v/>
      </c>
      <c r="I7" s="26">
        <f>IFERROR(VLOOKUP(G7,ราคาคอร์ส!$A:$C,3,FALSE),"")</f>
        <v/>
      </c>
      <c r="J7" s="26" t="n"/>
      <c r="K7" s="26" t="n"/>
      <c r="L7" s="26" t="n"/>
      <c r="M7" s="26" t="n"/>
    </row>
    <row r="8">
      <c r="A8" s="26" t="inlineStr">
        <is>
          <t>1</t>
        </is>
      </c>
      <c r="B8" s="26" t="inlineStr">
        <is>
          <t>18:00</t>
        </is>
      </c>
      <c r="C8" s="28" t="inlineStr">
        <is>
          <t>ว่าง</t>
        </is>
      </c>
      <c r="D8" s="26" t="n"/>
      <c r="E8" s="26" t="n"/>
      <c r="F8" s="26" t="n"/>
      <c r="G8" s="26" t="n"/>
      <c r="H8" s="26">
        <f>IFERROR(VLOOKUP(G8,ราคาคอร์ส!$A:$C,2,FALSE)/60,"")</f>
        <v/>
      </c>
      <c r="I8" s="26">
        <f>IFERROR(VLOOKUP(G8,ราคาคอร์ส!$A:$C,3,FALSE),"")</f>
        <v/>
      </c>
      <c r="J8" s="26" t="n"/>
      <c r="K8" s="26" t="n"/>
      <c r="L8" s="26" t="n"/>
      <c r="M8" s="26" t="n"/>
    </row>
    <row r="9">
      <c r="A9" s="26" t="inlineStr">
        <is>
          <t>1</t>
        </is>
      </c>
      <c r="B9" s="26" t="inlineStr">
        <is>
          <t>19:00</t>
        </is>
      </c>
      <c r="C9" s="28" t="inlineStr">
        <is>
          <t>ว่าง</t>
        </is>
      </c>
      <c r="D9" s="26" t="n"/>
      <c r="E9" s="26" t="n"/>
      <c r="F9" s="26" t="n"/>
      <c r="G9" s="26" t="n"/>
      <c r="H9" s="26">
        <f>IFERROR(VLOOKUP(G9,ราคาคอร์ส!$A:$C,2,FALSE)/60,"")</f>
        <v/>
      </c>
      <c r="I9" s="26">
        <f>IFERROR(VLOOKUP(G9,ราคาคอร์ส!$A:$C,3,FALSE),"")</f>
        <v/>
      </c>
      <c r="J9" s="26" t="n"/>
      <c r="K9" s="26" t="n"/>
      <c r="L9" s="26" t="n"/>
      <c r="M9" s="26" t="n"/>
    </row>
    <row r="10">
      <c r="A10" s="26" t="inlineStr">
        <is>
          <t>1</t>
        </is>
      </c>
      <c r="B10" s="26" t="inlineStr">
        <is>
          <t>20:00</t>
        </is>
      </c>
      <c r="C10" s="28" t="inlineStr">
        <is>
          <t>ว่าง</t>
        </is>
      </c>
      <c r="D10" s="26" t="n"/>
      <c r="E10" s="26" t="n"/>
      <c r="F10" s="26" t="n"/>
      <c r="G10" s="26" t="n"/>
      <c r="H10" s="26">
        <f>IFERROR(VLOOKUP(G10,ราคาคอร์ส!$A:$C,2,FALSE)/60,"")</f>
        <v/>
      </c>
      <c r="I10" s="26">
        <f>IFERROR(VLOOKUP(G10,ราคาคอร์ส!$A:$C,3,FALSE),"")</f>
        <v/>
      </c>
      <c r="J10" s="26" t="n"/>
      <c r="K10" s="26" t="n"/>
      <c r="L10" s="26" t="n"/>
      <c r="M10" s="26" t="n"/>
    </row>
    <row r="11">
      <c r="A11" s="26" t="inlineStr">
        <is>
          <t>1</t>
        </is>
      </c>
      <c r="B11" s="26" t="inlineStr">
        <is>
          <t>21:00</t>
        </is>
      </c>
      <c r="C11" s="28" t="inlineStr">
        <is>
          <t>ว่าง</t>
        </is>
      </c>
      <c r="D11" s="26" t="n"/>
      <c r="E11" s="26" t="n"/>
      <c r="F11" s="26" t="n"/>
      <c r="G11" s="26" t="n"/>
      <c r="H11" s="26">
        <f>IFERROR(VLOOKUP(G11,ราคาคอร์ส!$A:$C,2,FALSE)/60,"")</f>
        <v/>
      </c>
      <c r="I11" s="26">
        <f>IFERROR(VLOOKUP(G11,ราคาคอร์ส!$A:$C,3,FALSE),"")</f>
        <v/>
      </c>
      <c r="J11" s="26" t="n"/>
      <c r="K11" s="26" t="n"/>
      <c r="L11" s="26" t="n"/>
      <c r="M11" s="26" t="n"/>
    </row>
    <row r="12">
      <c r="A12" s="26" t="inlineStr">
        <is>
          <t>1</t>
        </is>
      </c>
      <c r="B12" s="26" t="inlineStr">
        <is>
          <t>22:00</t>
        </is>
      </c>
      <c r="C12" s="27" t="inlineStr">
        <is>
          <t>ไม่ว่าง</t>
        </is>
      </c>
      <c r="D12" s="26" t="inlineStr">
        <is>
          <t>คุณศุประภาภรณ์</t>
        </is>
      </c>
      <c r="E12" s="26" t="n"/>
      <c r="F12" s="26" t="inlineStr">
        <is>
          <t>0927184289</t>
        </is>
      </c>
      <c r="G12" s="26" t="inlineStr">
        <is>
          <t>นวดฝ่าเท้า</t>
        </is>
      </c>
      <c r="H12" s="26">
        <f>IFERROR(VLOOKUP(G12,ราคาคอร์ส!$A:$C,2,FALSE)/60,"")</f>
        <v/>
      </c>
      <c r="I12" s="26">
        <f>IFERROR(VLOOKUP(G12,ราคาคอร์ส!$A:$C,3,FALSE),"")</f>
        <v/>
      </c>
      <c r="J12" s="26" t="inlineStr">
        <is>
          <t>ลูกค้าโรงแรม</t>
        </is>
      </c>
      <c r="K12" s="26" t="n"/>
      <c r="L12" s="26" t="n"/>
      <c r="M12" s="26" t="n"/>
    </row>
    <row r="13">
      <c r="A13" s="26" t="inlineStr">
        <is>
          <t>1</t>
        </is>
      </c>
      <c r="B13" s="26" t="inlineStr">
        <is>
          <t>23:00</t>
        </is>
      </c>
      <c r="C13" s="28" t="inlineStr">
        <is>
          <t>ว่าง</t>
        </is>
      </c>
      <c r="D13" s="26" t="n"/>
      <c r="E13" s="26" t="n"/>
      <c r="F13" s="26" t="n"/>
      <c r="G13" s="26" t="n"/>
      <c r="H13" s="26">
        <f>IFERROR(VLOOKUP(G13,ราคาคอร์ส!$A:$C,2,FALSE)/60,"")</f>
        <v/>
      </c>
      <c r="I13" s="26">
        <f>IFERROR(VLOOKUP(G13,ราคาคอร์ส!$A:$C,3,FALSE),"")</f>
        <v/>
      </c>
      <c r="J13" s="26" t="n"/>
      <c r="K13" s="26" t="n"/>
      <c r="L13" s="26" t="n"/>
      <c r="M13" s="26" t="n"/>
    </row>
    <row r="14">
      <c r="A14" s="29" t="inlineStr">
        <is>
          <t>2</t>
        </is>
      </c>
      <c r="B14" s="29" t="inlineStr">
        <is>
          <t>12:00</t>
        </is>
      </c>
      <c r="C14" s="28" t="inlineStr">
        <is>
          <t>ว่าง</t>
        </is>
      </c>
      <c r="D14" s="29" t="n"/>
      <c r="E14" s="29" t="n"/>
      <c r="F14" s="29" t="n"/>
      <c r="G14" s="29" t="n"/>
      <c r="H14" s="29">
        <f>IFERROR(VLOOKUP(G14,ราคาคอร์ส!$A:$C,2,FALSE)/60,"")</f>
        <v/>
      </c>
      <c r="I14" s="29">
        <f>IFERROR(VLOOKUP(G14,ราคาคอร์ส!$A:$C,3,FALSE),"")</f>
        <v/>
      </c>
      <c r="J14" s="29" t="n"/>
      <c r="K14" s="29" t="n"/>
      <c r="L14" s="29" t="n"/>
      <c r="M14" s="29" t="n"/>
    </row>
    <row r="15">
      <c r="A15" s="29" t="inlineStr">
        <is>
          <t>2</t>
        </is>
      </c>
      <c r="B15" s="29" t="inlineStr">
        <is>
          <t>13:00</t>
        </is>
      </c>
      <c r="C15" s="28" t="inlineStr">
        <is>
          <t>ว่าง</t>
        </is>
      </c>
      <c r="D15" s="29" t="n"/>
      <c r="E15" s="29" t="n"/>
      <c r="F15" s="29" t="n"/>
      <c r="G15" s="29" t="n"/>
      <c r="H15" s="29">
        <f>IFERROR(VLOOKUP(G15,ราคาคอร์ส!$A:$C,2,FALSE)/60,"")</f>
        <v/>
      </c>
      <c r="I15" s="29">
        <f>IFERROR(VLOOKUP(G15,ราคาคอร์ส!$A:$C,3,FALSE),"")</f>
        <v/>
      </c>
      <c r="J15" s="29" t="n"/>
      <c r="K15" s="29" t="n"/>
      <c r="L15" s="29" t="n"/>
      <c r="M15" s="29" t="n"/>
    </row>
    <row r="16">
      <c r="A16" s="29" t="inlineStr">
        <is>
          <t>2</t>
        </is>
      </c>
      <c r="B16" s="29" t="inlineStr">
        <is>
          <t>14:00</t>
        </is>
      </c>
      <c r="C16" s="28" t="inlineStr">
        <is>
          <t>ว่าง</t>
        </is>
      </c>
      <c r="D16" s="29" t="n"/>
      <c r="E16" s="29" t="n"/>
      <c r="F16" s="29" t="n"/>
      <c r="G16" s="29" t="n"/>
      <c r="H16" s="29">
        <f>IFERROR(VLOOKUP(G16,ราคาคอร์ส!$A:$C,2,FALSE)/60,"")</f>
        <v/>
      </c>
      <c r="I16" s="29">
        <f>IFERROR(VLOOKUP(G16,ราคาคอร์ส!$A:$C,3,FALSE),"")</f>
        <v/>
      </c>
      <c r="J16" s="29" t="n"/>
      <c r="K16" s="29" t="n"/>
      <c r="L16" s="29" t="n"/>
      <c r="M16" s="29" t="n"/>
    </row>
    <row r="17">
      <c r="A17" s="29" t="inlineStr">
        <is>
          <t>2</t>
        </is>
      </c>
      <c r="B17" s="29" t="inlineStr">
        <is>
          <t>15:00</t>
        </is>
      </c>
      <c r="C17" s="28" t="inlineStr">
        <is>
          <t>ว่าง</t>
        </is>
      </c>
      <c r="D17" s="29" t="n"/>
      <c r="E17" s="29" t="n"/>
      <c r="F17" s="29" t="n"/>
      <c r="G17" s="29" t="n"/>
      <c r="H17" s="29">
        <f>IFERROR(VLOOKUP(G17,ราคาคอร์ส!$A:$C,2,FALSE)/60,"")</f>
        <v/>
      </c>
      <c r="I17" s="29">
        <f>IFERROR(VLOOKUP(G17,ราคาคอร์ส!$A:$C,3,FALSE),"")</f>
        <v/>
      </c>
      <c r="J17" s="29" t="n"/>
      <c r="K17" s="29" t="n"/>
      <c r="L17" s="29" t="n"/>
      <c r="M17" s="29" t="n"/>
    </row>
    <row r="18">
      <c r="A18" s="29" t="inlineStr">
        <is>
          <t>2</t>
        </is>
      </c>
      <c r="B18" s="29" t="inlineStr">
        <is>
          <t>16:00</t>
        </is>
      </c>
      <c r="C18" s="28" t="inlineStr">
        <is>
          <t>ว่าง</t>
        </is>
      </c>
      <c r="D18" s="29" t="n"/>
      <c r="E18" s="29" t="n"/>
      <c r="F18" s="29" t="n"/>
      <c r="G18" s="29" t="n"/>
      <c r="H18" s="29">
        <f>IFERROR(VLOOKUP(G18,ราคาคอร์ส!$A:$C,2,FALSE)/60,"")</f>
        <v/>
      </c>
      <c r="I18" s="29">
        <f>IFERROR(VLOOKUP(G18,ราคาคอร์ส!$A:$C,3,FALSE),"")</f>
        <v/>
      </c>
      <c r="J18" s="29" t="n"/>
      <c r="K18" s="29" t="n"/>
      <c r="L18" s="29" t="n"/>
      <c r="M18" s="29" t="n"/>
    </row>
    <row r="19">
      <c r="A19" s="29" t="inlineStr">
        <is>
          <t>2</t>
        </is>
      </c>
      <c r="B19" s="29" t="inlineStr">
        <is>
          <t>17:00</t>
        </is>
      </c>
      <c r="C19" s="27" t="inlineStr">
        <is>
          <t>ไม่ว่าง</t>
        </is>
      </c>
      <c r="D19" s="29" t="inlineStr">
        <is>
          <t>คุณโชค</t>
        </is>
      </c>
      <c r="E19" s="29" t="n"/>
      <c r="F19" s="29" t="n"/>
      <c r="G19" s="29" t="inlineStr">
        <is>
          <t>นวดฝ่าเท้า</t>
        </is>
      </c>
      <c r="H19" s="29">
        <f>IFERROR(VLOOKUP(G19,ราคาคอร์ส!$A:$C,2,FALSE)/60,"")</f>
        <v/>
      </c>
      <c r="I19" s="29">
        <f>IFERROR(VLOOKUP(G19,ราคาคอร์ส!$A:$C,3,FALSE),"")</f>
        <v/>
      </c>
      <c r="J19" s="29" t="inlineStr">
        <is>
          <t>Walk-in</t>
        </is>
      </c>
      <c r="K19" s="29" t="n"/>
      <c r="L19" s="29" t="inlineStr">
        <is>
          <t>17:12</t>
        </is>
      </c>
      <c r="M19" s="29" t="inlineStr">
        <is>
          <t>18:42</t>
        </is>
      </c>
    </row>
    <row r="20">
      <c r="A20" s="29" t="inlineStr">
        <is>
          <t>2</t>
        </is>
      </c>
      <c r="B20" s="29" t="inlineStr">
        <is>
          <t>18:00</t>
        </is>
      </c>
      <c r="C20" s="28" t="inlineStr">
        <is>
          <t>ว่าง</t>
        </is>
      </c>
      <c r="D20" s="29" t="n"/>
      <c r="E20" s="29" t="n"/>
      <c r="F20" s="29" t="n"/>
      <c r="G20" s="29" t="n"/>
      <c r="H20" s="29">
        <f>IFERROR(VLOOKUP(G20,ราคาคอร์ส!$A:$C,2,FALSE)/60,"")</f>
        <v/>
      </c>
      <c r="I20" s="29">
        <f>IFERROR(VLOOKUP(G20,ราคาคอร์ส!$A:$C,3,FALSE),"")</f>
        <v/>
      </c>
      <c r="J20" s="29" t="n"/>
      <c r="K20" s="29" t="n"/>
      <c r="L20" s="29" t="n"/>
      <c r="M20" s="29" t="n"/>
    </row>
    <row r="21">
      <c r="A21" s="29" t="inlineStr">
        <is>
          <t>2</t>
        </is>
      </c>
      <c r="B21" s="29" t="inlineStr">
        <is>
          <t>19:00</t>
        </is>
      </c>
      <c r="C21" s="28" t="inlineStr">
        <is>
          <t>ว่าง</t>
        </is>
      </c>
      <c r="D21" s="29" t="n"/>
      <c r="E21" s="29" t="n"/>
      <c r="F21" s="29" t="n"/>
      <c r="G21" s="29" t="n"/>
      <c r="H21" s="29">
        <f>IFERROR(VLOOKUP(G21,ราคาคอร์ส!$A:$C,2,FALSE)/60,"")</f>
        <v/>
      </c>
      <c r="I21" s="29">
        <f>IFERROR(VLOOKUP(G21,ราคาคอร์ส!$A:$C,3,FALSE),"")</f>
        <v/>
      </c>
      <c r="J21" s="29" t="n"/>
      <c r="K21" s="29" t="n"/>
      <c r="L21" s="29" t="n"/>
      <c r="M21" s="29" t="n"/>
    </row>
    <row r="22">
      <c r="A22" s="29" t="inlineStr">
        <is>
          <t>2</t>
        </is>
      </c>
      <c r="B22" s="29" t="inlineStr">
        <is>
          <t>20:00</t>
        </is>
      </c>
      <c r="C22" s="28" t="inlineStr">
        <is>
          <t>ว่าง</t>
        </is>
      </c>
      <c r="D22" s="29" t="n"/>
      <c r="E22" s="29" t="n"/>
      <c r="F22" s="29" t="n"/>
      <c r="G22" s="29" t="n"/>
      <c r="H22" s="29">
        <f>IFERROR(VLOOKUP(G22,ราคาคอร์ส!$A:$C,2,FALSE)/60,"")</f>
        <v/>
      </c>
      <c r="I22" s="29">
        <f>IFERROR(VLOOKUP(G22,ราคาคอร์ส!$A:$C,3,FALSE),"")</f>
        <v/>
      </c>
      <c r="J22" s="29" t="n"/>
      <c r="K22" s="29" t="n"/>
      <c r="L22" s="29" t="n"/>
      <c r="M22" s="29" t="n"/>
    </row>
    <row r="23">
      <c r="A23" s="29" t="inlineStr">
        <is>
          <t>2</t>
        </is>
      </c>
      <c r="B23" s="29" t="inlineStr">
        <is>
          <t>21:00</t>
        </is>
      </c>
      <c r="C23" s="28" t="inlineStr">
        <is>
          <t>ว่าง</t>
        </is>
      </c>
      <c r="D23" s="29" t="n"/>
      <c r="E23" s="29" t="n"/>
      <c r="F23" s="29" t="n"/>
      <c r="G23" s="29" t="n"/>
      <c r="H23" s="29">
        <f>IFERROR(VLOOKUP(G23,ราคาคอร์ส!$A:$C,2,FALSE)/60,"")</f>
        <v/>
      </c>
      <c r="I23" s="29">
        <f>IFERROR(VLOOKUP(G23,ราคาคอร์ส!$A:$C,3,FALSE),"")</f>
        <v/>
      </c>
      <c r="J23" s="29" t="n"/>
      <c r="K23" s="29" t="n"/>
      <c r="L23" s="29" t="n"/>
      <c r="M23" s="29" t="n"/>
    </row>
    <row r="24">
      <c r="A24" s="29" t="inlineStr">
        <is>
          <t>2</t>
        </is>
      </c>
      <c r="B24" s="29" t="inlineStr">
        <is>
          <t>22:00</t>
        </is>
      </c>
      <c r="C24" s="28" t="inlineStr">
        <is>
          <t>ว่าง</t>
        </is>
      </c>
      <c r="D24" s="29" t="n"/>
      <c r="E24" s="29" t="n"/>
      <c r="F24" s="29" t="n"/>
      <c r="G24" s="29" t="n"/>
      <c r="H24" s="29">
        <f>IFERROR(VLOOKUP(G24,ราคาคอร์ส!$A:$C,2,FALSE)/60,"")</f>
        <v/>
      </c>
      <c r="I24" s="29">
        <f>IFERROR(VLOOKUP(G24,ราคาคอร์ส!$A:$C,3,FALSE),"")</f>
        <v/>
      </c>
      <c r="J24" s="29" t="n"/>
      <c r="K24" s="29" t="n"/>
      <c r="L24" s="29" t="n"/>
      <c r="M24" s="29" t="n"/>
    </row>
    <row r="25">
      <c r="A25" s="29" t="inlineStr">
        <is>
          <t>2</t>
        </is>
      </c>
      <c r="B25" s="29" t="inlineStr">
        <is>
          <t>23:00</t>
        </is>
      </c>
      <c r="C25" s="28" t="inlineStr">
        <is>
          <t>ว่าง</t>
        </is>
      </c>
      <c r="D25" s="29" t="n"/>
      <c r="E25" s="29" t="n"/>
      <c r="F25" s="29" t="n"/>
      <c r="G25" s="29" t="n"/>
      <c r="H25" s="29">
        <f>IFERROR(VLOOKUP(G25,ราคาคอร์ส!$A:$C,2,FALSE)/60,"")</f>
        <v/>
      </c>
      <c r="I25" s="29">
        <f>IFERROR(VLOOKUP(G25,ราคาคอร์ส!$A:$C,3,FALSE),"")</f>
        <v/>
      </c>
      <c r="J25" s="29" t="n"/>
      <c r="K25" s="29" t="n"/>
      <c r="L25" s="29" t="n"/>
      <c r="M25" s="29" t="n"/>
    </row>
    <row r="26">
      <c r="H26" s="2">
        <f>IFERROR(VLOOKUP(G26,ราคาคอร์ส!$A:$C,2,FALSE)/60,"")</f>
        <v/>
      </c>
      <c r="I26" s="2">
        <f>IFERROR(VLOOKUP(G26,ราคาคอร์ส!$A:$C,3,FALSE),"")</f>
        <v/>
      </c>
    </row>
    <row r="27">
      <c r="A27" s="3" t="inlineStr">
        <is>
          <t>คำอธิบาย:</t>
        </is>
      </c>
      <c r="H27" s="2">
        <f>IFERROR(VLOOKUP(G27,ราคาคอร์ส!$A:$C,2,FALSE)/60,"")</f>
        <v/>
      </c>
      <c r="I27" s="2">
        <f>IFERROR(VLOOKUP(G27,ราคาคอร์ส!$A:$C,3,FALSE),"")</f>
        <v/>
      </c>
    </row>
    <row r="28">
      <c r="A28" s="4" t="inlineStr">
        <is>
          <t>ตารางนี้สร้างแถวไว้ให้ล่วงหน้าทุกชั่วโมง (12:00-23:00) ต่อหมอนวด 1 คน แค่เปลี่ยน Status เป็น "ไม่ว่าง" แล้วกรอกรายละเอียดตามจริง</t>
        </is>
      </c>
      <c r="H28" s="2">
        <f>IFERROR(VLOOKUP(G28,ราคาคอร์ส!$A:$C,2,FALSE)/60,"")</f>
        <v/>
      </c>
      <c r="I28" s="2">
        <f>IFERROR(VLOOKUP(G28,ราคาคอร์ส!$A:$C,3,FALSE),"")</f>
        <v/>
      </c>
    </row>
    <row r="29">
      <c r="A29" s="4" t="inlineStr">
        <is>
          <t>ราคา: ใส่ราคาที่ขายจริงของคิวนั้น (บาท) เก็บไว้ในแถวเดียวกับการจอง ใช้สำหรับงานบัญชี/สรุปยอดขาย ไม่ถูกใช้คำนวณอะไรบนจอแสดงผล</t>
        </is>
      </c>
      <c r="H29" s="2">
        <f>IFERROR(VLOOKUP(G29,ราคาคอร์ส!$A:$C,2,FALSE)/60,"")</f>
        <v/>
      </c>
      <c r="I29" s="2">
        <f>IFERROR(VLOOKUP(G29,ราคาคอร์ส!$A:$C,3,FALSE),"")</f>
        <v/>
      </c>
    </row>
    <row r="30">
      <c r="A30" s="4" t="inlineStr">
        <is>
          <t>ถ้าคอร์สที่ใช้เวลานานกว่า 1 ชั่วโมง ให้เปลี่ยน Status เป็น "ไม่ว่าง" ในแถวชั่วโมงถัดๆ ไปด้วย ปล่อย Customer_Note ว่างไว้ในแถวต่อเนื่อง ระบบจะรวมเป็นคิวเดียวกันอัตโนมัติ (กรอกราคาแค่แถวแรกพอ)</t>
        </is>
      </c>
      <c r="H30" s="2">
        <f>IFERROR(VLOOKUP(G30,ราคาคอร์ส!$A:$C,2,FALSE)/60,"")</f>
        <v/>
      </c>
      <c r="I30" s="2">
        <f>IFERROR(VLOOKUP(G30,ราคาคอร์ส!$A:$C,3,FALSE),"")</f>
        <v/>
      </c>
    </row>
    <row r="31">
      <c r="A31" s="4" t="inlineStr">
        <is>
          <t>เวลาเริ่มจริง / เวลาสิ้นสุดจริง: ช่องเสริมไม่บังคับ สำหรับตอนลูกค้าเข้าไม่ตรงชั่วโมงเป๊ะ</t>
        </is>
      </c>
      <c r="H31" s="2">
        <f>IFERROR(VLOOKUP(G31,ราคาคอร์ส!$A:$C,2,FALSE)/60,"")</f>
        <v/>
      </c>
      <c r="I31" s="2">
        <f>IFERROR(VLOOKUP(G31,ราคาคอร์ส!$A:$C,3,FALSE),"")</f>
        <v/>
      </c>
    </row>
    <row r="32">
      <c r="A32" s="4" t="inlineStr">
        <is>
          <t>Therapist_ID: 1 = ภา, 2 = เมล</t>
        </is>
      </c>
      <c r="H32" s="2">
        <f>IFERROR(VLOOKUP(G32,ราคาคอร์ส!$A:$C,2,FALSE)/60,"")</f>
        <v/>
      </c>
      <c r="I32" s="2">
        <f>IFERROR(VLOOKUP(G32,ราคาคอร์ส!$A:$C,3,FALSE),"")</f>
        <v/>
      </c>
    </row>
    <row r="33">
      <c r="A33" s="4" t="inlineStr">
        <is>
          <t>ตารางนี้ไม่มีคอลัมน์วันที่ เพราะรีเซ็ตอัตโนมัติทุกเที่ยงคืนผ่าน Apps Script</t>
        </is>
      </c>
      <c r="H33" s="2">
        <f>IFERROR(VLOOKUP(G33,ราคาคอร์ส!$A:$C,2,FALSE)/60,"")</f>
        <v/>
      </c>
      <c r="I33" s="2">
        <f>IFERROR(VLOOKUP(G33,ราคาคอร์ส!$A:$C,3,FALSE),"")</f>
        <v/>
      </c>
    </row>
    <row r="34">
      <c r="H34" s="2">
        <f>IFERROR(VLOOKUP(G34,ราคาคอร์ส!$A:$C,2,FALSE)/60,"")</f>
        <v/>
      </c>
      <c r="I34" s="2">
        <f>IFERROR(VLOOKUP(G34,ราคาคอร์ส!$A:$C,3,FALSE),"")</f>
        <v/>
      </c>
    </row>
    <row r="35">
      <c r="H35" s="2">
        <f>IFERROR(VLOOKUP(G35,ราคาคอร์ส!$A:$C,2,FALSE)/60,"")</f>
        <v/>
      </c>
      <c r="I35" s="2">
        <f>IFERROR(VLOOKUP(G35,ราคาคอร์ส!$A:$C,3,FALSE),"")</f>
        <v/>
      </c>
    </row>
    <row r="36">
      <c r="H36" s="2">
        <f>IFERROR(VLOOKUP(G36,ราคาคอร์ส!$A:$C,2,FALSE)/60,"")</f>
        <v/>
      </c>
      <c r="I36" s="2">
        <f>IFERROR(VLOOKUP(G36,ราคาคอร์ส!$A:$C,3,FALSE),"")</f>
        <v/>
      </c>
    </row>
    <row r="37">
      <c r="H37" s="2">
        <f>IFERROR(VLOOKUP(G37,ราคาคอร์ส!$A:$C,2,FALSE)/60,"")</f>
        <v/>
      </c>
      <c r="I37" s="2">
        <f>IFERROR(VLOOKUP(G37,ราคาคอร์ส!$A:$C,3,FALSE),"")</f>
        <v/>
      </c>
    </row>
    <row r="38">
      <c r="H38" s="2">
        <f>IFERROR(VLOOKUP(G38,ราคาคอร์ส!$A:$C,2,FALSE)/60,"")</f>
        <v/>
      </c>
      <c r="I38" s="2">
        <f>IFERROR(VLOOKUP(G38,ราคาคอร์ส!$A:$C,3,FALSE),"")</f>
        <v/>
      </c>
    </row>
    <row r="39">
      <c r="H39" s="2">
        <f>IFERROR(VLOOKUP(G39,ราคาคอร์ส!$A:$C,2,FALSE)/60,"")</f>
        <v/>
      </c>
      <c r="I39" s="2">
        <f>IFERROR(VLOOKUP(G39,ราคาคอร์ส!$A:$C,3,FALSE),"")</f>
        <v/>
      </c>
    </row>
    <row r="40">
      <c r="H40" s="2">
        <f>IFERROR(VLOOKUP(G40,ราคาคอร์ส!$A:$C,2,FALSE)/60,"")</f>
        <v/>
      </c>
      <c r="I40" s="2">
        <f>IFERROR(VLOOKUP(G40,ราคาคอร์ส!$A:$C,3,FALSE),"")</f>
        <v/>
      </c>
    </row>
    <row r="41">
      <c r="H41" s="2">
        <f>IFERROR(VLOOKUP(G41,ราคาคอร์ส!$A:$C,2,FALSE)/60,"")</f>
        <v/>
      </c>
      <c r="I41" s="2">
        <f>IFERROR(VLOOKUP(G41,ราคาคอร์ส!$A:$C,3,FALSE),"")</f>
        <v/>
      </c>
    </row>
    <row r="42">
      <c r="H42" s="2">
        <f>IFERROR(VLOOKUP(G42,ราคาคอร์ส!$A:$C,2,FALSE)/60,"")</f>
        <v/>
      </c>
      <c r="I42" s="2">
        <f>IFERROR(VLOOKUP(G42,ราคาคอร์ส!$A:$C,3,FALSE),"")</f>
        <v/>
      </c>
    </row>
    <row r="43">
      <c r="H43" s="2">
        <f>IFERROR(VLOOKUP(G43,ราคาคอร์ส!$A:$C,2,FALSE)/60,"")</f>
        <v/>
      </c>
      <c r="I43" s="2">
        <f>IFERROR(VLOOKUP(G43,ราคาคอร์ส!$A:$C,3,FALSE),"")</f>
        <v/>
      </c>
    </row>
    <row r="44">
      <c r="H44" s="2">
        <f>IFERROR(VLOOKUP(G44,ราคาคอร์ส!$A:$C,2,FALSE)/60,"")</f>
        <v/>
      </c>
      <c r="I44" s="2">
        <f>IFERROR(VLOOKUP(G44,ราคาคอร์ส!$A:$C,3,FALSE),"")</f>
        <v/>
      </c>
    </row>
    <row r="45">
      <c r="H45" s="2">
        <f>IFERROR(VLOOKUP(G45,ราคาคอร์ส!$A:$C,2,FALSE)/60,"")</f>
        <v/>
      </c>
      <c r="I45" s="2">
        <f>IFERROR(VLOOKUP(G45,ราคาคอร์ส!$A:$C,3,FALSE),"")</f>
        <v/>
      </c>
    </row>
    <row r="46">
      <c r="H46" s="2">
        <f>IFERROR(VLOOKUP(G46,ราคาคอร์ส!$A:$C,2,FALSE)/60,"")</f>
        <v/>
      </c>
      <c r="I46" s="2">
        <f>IFERROR(VLOOKUP(G46,ราคาคอร์ส!$A:$C,3,FALSE),"")</f>
        <v/>
      </c>
    </row>
    <row r="47">
      <c r="H47" s="2">
        <f>IFERROR(VLOOKUP(G47,ราคาคอร์ส!$A:$C,2,FALSE)/60,"")</f>
        <v/>
      </c>
      <c r="I47" s="2">
        <f>IFERROR(VLOOKUP(G47,ราคาคอร์ส!$A:$C,3,FALSE),"")</f>
        <v/>
      </c>
    </row>
    <row r="48">
      <c r="H48" s="2">
        <f>IFERROR(VLOOKUP(G48,ราคาคอร์ส!$A:$C,2,FALSE)/60,"")</f>
        <v/>
      </c>
      <c r="I48" s="2">
        <f>IFERROR(VLOOKUP(G48,ราคาคอร์ส!$A:$C,3,FALSE),"")</f>
        <v/>
      </c>
    </row>
    <row r="49">
      <c r="H49" s="2">
        <f>IFERROR(VLOOKUP(G49,ราคาคอร์ส!$A:$C,2,FALSE)/60,"")</f>
        <v/>
      </c>
      <c r="I49" s="2">
        <f>IFERROR(VLOOKUP(G49,ราคาคอร์ส!$A:$C,3,FALSE),"")</f>
        <v/>
      </c>
    </row>
    <row r="50">
      <c r="H50" s="2">
        <f>IFERROR(VLOOKUP(G50,ราคาคอร์ส!$A:$C,2,FALSE)/60,"")</f>
        <v/>
      </c>
      <c r="I50" s="2">
        <f>IFERROR(VLOOKUP(G50,ราคาคอร์ส!$A:$C,3,FALSE),"")</f>
        <v/>
      </c>
    </row>
    <row r="51">
      <c r="H51" s="2">
        <f>IFERROR(VLOOKUP(G51,ราคาคอร์ส!$A:$C,2,FALSE)/60,"")</f>
        <v/>
      </c>
      <c r="I51" s="2">
        <f>IFERROR(VLOOKUP(G51,ราคาคอร์ส!$A:$C,3,FALSE),"")</f>
        <v/>
      </c>
    </row>
    <row r="52">
      <c r="H52" s="2">
        <f>IFERROR(VLOOKUP(G52,ราคาคอร์ส!$A:$C,2,FALSE)/60,"")</f>
        <v/>
      </c>
      <c r="I52" s="2">
        <f>IFERROR(VLOOKUP(G52,ราคาคอร์ส!$A:$C,3,FALSE),"")</f>
        <v/>
      </c>
    </row>
    <row r="53">
      <c r="H53" s="2">
        <f>IFERROR(VLOOKUP(G53,ราคาคอร์ส!$A:$C,2,FALSE)/60,"")</f>
        <v/>
      </c>
      <c r="I53" s="2">
        <f>IFERROR(VLOOKUP(G53,ราคาคอร์ส!$A:$C,3,FALSE),"")</f>
        <v/>
      </c>
    </row>
    <row r="54">
      <c r="H54" s="2">
        <f>IFERROR(VLOOKUP(G54,ราคาคอร์ส!$A:$C,2,FALSE)/60,"")</f>
        <v/>
      </c>
      <c r="I54" s="2">
        <f>IFERROR(VLOOKUP(G54,ราคาคอร์ส!$A:$C,3,FALSE),"")</f>
        <v/>
      </c>
    </row>
    <row r="55">
      <c r="H55" s="2">
        <f>IFERROR(VLOOKUP(G55,ราคาคอร์ส!$A:$C,2,FALSE)/60,"")</f>
        <v/>
      </c>
      <c r="I55" s="2">
        <f>IFERROR(VLOOKUP(G55,ราคาคอร์ส!$A:$C,3,FALSE),"")</f>
        <v/>
      </c>
    </row>
    <row r="56">
      <c r="H56" s="2">
        <f>IFERROR(VLOOKUP(G56,ราคาคอร์ส!$A:$C,2,FALSE)/60,"")</f>
        <v/>
      </c>
      <c r="I56" s="2">
        <f>IFERROR(VLOOKUP(G56,ราคาคอร์ส!$A:$C,3,FALSE),"")</f>
        <v/>
      </c>
    </row>
    <row r="57">
      <c r="H57" s="2">
        <f>IFERROR(VLOOKUP(G57,ราคาคอร์ส!$A:$C,2,FALSE)/60,"")</f>
        <v/>
      </c>
      <c r="I57" s="2">
        <f>IFERROR(VLOOKUP(G57,ราคาคอร์ส!$A:$C,3,FALSE),"")</f>
        <v/>
      </c>
    </row>
    <row r="58">
      <c r="H58" s="2">
        <f>IFERROR(VLOOKUP(G58,ราคาคอร์ส!$A:$C,2,FALSE)/60,"")</f>
        <v/>
      </c>
      <c r="I58" s="2">
        <f>IFERROR(VLOOKUP(G58,ราคาคอร์ส!$A:$C,3,FALSE),"")</f>
        <v/>
      </c>
    </row>
    <row r="59">
      <c r="H59" s="2">
        <f>IFERROR(VLOOKUP(G59,ราคาคอร์ส!$A:$C,2,FALSE)/60,"")</f>
        <v/>
      </c>
      <c r="I59" s="2">
        <f>IFERROR(VLOOKUP(G59,ราคาคอร์ส!$A:$C,3,FALSE),"")</f>
        <v/>
      </c>
    </row>
    <row r="60">
      <c r="H60" s="2">
        <f>IFERROR(VLOOKUP(G60,ราคาคอร์ส!$A:$C,2,FALSE)/60,"")</f>
        <v/>
      </c>
      <c r="I60" s="2">
        <f>IFERROR(VLOOKUP(G60,ราคาคอร์ส!$A:$C,3,FALSE),"")</f>
        <v/>
      </c>
    </row>
    <row r="61">
      <c r="H61" s="2">
        <f>IFERROR(VLOOKUP(G61,ราคาคอร์ส!$A:$C,2,FALSE)/60,"")</f>
        <v/>
      </c>
      <c r="I61" s="2">
        <f>IFERROR(VLOOKUP(G61,ราคาคอร์ส!$A:$C,3,FALSE),"")</f>
        <v/>
      </c>
    </row>
    <row r="62">
      <c r="H62" s="2">
        <f>IFERROR(VLOOKUP(G62,ราคาคอร์ส!$A:$C,2,FALSE)/60,"")</f>
        <v/>
      </c>
      <c r="I62" s="2">
        <f>IFERROR(VLOOKUP(G62,ราคาคอร์ส!$A:$C,3,FALSE),"")</f>
        <v/>
      </c>
    </row>
    <row r="63">
      <c r="H63" s="2">
        <f>IFERROR(VLOOKUP(G63,ราคาคอร์ส!$A:$C,2,FALSE)/60,"")</f>
        <v/>
      </c>
      <c r="I63" s="2">
        <f>IFERROR(VLOOKUP(G63,ราคาคอร์ส!$A:$C,3,FALSE),"")</f>
        <v/>
      </c>
    </row>
    <row r="64">
      <c r="H64" s="2">
        <f>IFERROR(VLOOKUP(G64,ราคาคอร์ส!$A:$C,2,FALSE)/60,"")</f>
        <v/>
      </c>
      <c r="I64" s="2">
        <f>IFERROR(VLOOKUP(G64,ราคาคอร์ส!$A:$C,3,FALSE),"")</f>
        <v/>
      </c>
    </row>
    <row r="65">
      <c r="H65" s="2">
        <f>IFERROR(VLOOKUP(G65,ราคาคอร์ส!$A:$C,2,FALSE)/60,"")</f>
        <v/>
      </c>
      <c r="I65" s="2">
        <f>IFERROR(VLOOKUP(G65,ราคาคอร์ส!$A:$C,3,FALSE),"")</f>
        <v/>
      </c>
    </row>
    <row r="66">
      <c r="H66" s="2">
        <f>IFERROR(VLOOKUP(G66,ราคาคอร์ส!$A:$C,2,FALSE)/60,"")</f>
        <v/>
      </c>
      <c r="I66" s="2">
        <f>IFERROR(VLOOKUP(G66,ราคาคอร์ส!$A:$C,3,FALSE),"")</f>
        <v/>
      </c>
    </row>
    <row r="67">
      <c r="H67" s="2">
        <f>IFERROR(VLOOKUP(G67,ราคาคอร์ส!$A:$C,2,FALSE)/60,"")</f>
        <v/>
      </c>
      <c r="I67" s="2">
        <f>IFERROR(VLOOKUP(G67,ราคาคอร์ส!$A:$C,3,FALSE),"")</f>
        <v/>
      </c>
    </row>
    <row r="68">
      <c r="H68" s="2">
        <f>IFERROR(VLOOKUP(G68,ราคาคอร์ส!$A:$C,2,FALSE)/60,"")</f>
        <v/>
      </c>
      <c r="I68" s="2">
        <f>IFERROR(VLOOKUP(G68,ราคาคอร์ส!$A:$C,3,FALSE),"")</f>
        <v/>
      </c>
    </row>
    <row r="69">
      <c r="H69" s="2">
        <f>IFERROR(VLOOKUP(G69,ราคาคอร์ส!$A:$C,2,FALSE)/60,"")</f>
        <v/>
      </c>
      <c r="I69" s="2">
        <f>IFERROR(VLOOKUP(G69,ราคาคอร์ส!$A:$C,3,FALSE),"")</f>
        <v/>
      </c>
    </row>
    <row r="70">
      <c r="H70" s="2">
        <f>IFERROR(VLOOKUP(G70,ราคาคอร์ส!$A:$C,2,FALSE)/60,"")</f>
        <v/>
      </c>
      <c r="I70" s="2">
        <f>IFERROR(VLOOKUP(G70,ราคาคอร์ส!$A:$C,3,FALSE),"")</f>
        <v/>
      </c>
    </row>
    <row r="71">
      <c r="H71" s="2">
        <f>IFERROR(VLOOKUP(G71,ราคาคอร์ส!$A:$C,2,FALSE)/60,"")</f>
        <v/>
      </c>
      <c r="I71" s="2">
        <f>IFERROR(VLOOKUP(G71,ราคาคอร์ส!$A:$C,3,FALSE),"")</f>
        <v/>
      </c>
    </row>
    <row r="72">
      <c r="H72" s="2">
        <f>IFERROR(VLOOKUP(G72,ราคาคอร์ส!$A:$C,2,FALSE)/60,"")</f>
        <v/>
      </c>
      <c r="I72" s="2">
        <f>IFERROR(VLOOKUP(G72,ราคาคอร์ส!$A:$C,3,FALSE),"")</f>
        <v/>
      </c>
    </row>
    <row r="73">
      <c r="H73" s="2">
        <f>IFERROR(VLOOKUP(G73,ราคาคอร์ส!$A:$C,2,FALSE)/60,"")</f>
        <v/>
      </c>
      <c r="I73" s="2">
        <f>IFERROR(VLOOKUP(G73,ราคาคอร์ส!$A:$C,3,FALSE),"")</f>
        <v/>
      </c>
    </row>
    <row r="74">
      <c r="H74" s="2">
        <f>IFERROR(VLOOKUP(G74,ราคาคอร์ส!$A:$C,2,FALSE)/60,"")</f>
        <v/>
      </c>
      <c r="I74" s="2">
        <f>IFERROR(VLOOKUP(G74,ราคาคอร์ส!$A:$C,3,FALSE),"")</f>
        <v/>
      </c>
    </row>
    <row r="75">
      <c r="H75" s="2">
        <f>IFERROR(VLOOKUP(G75,ราคาคอร์ส!$A:$C,2,FALSE)/60,"")</f>
        <v/>
      </c>
      <c r="I75" s="2">
        <f>IFERROR(VLOOKUP(G75,ราคาคอร์ส!$A:$C,3,FALSE),"")</f>
        <v/>
      </c>
    </row>
    <row r="76">
      <c r="H76" s="2">
        <f>IFERROR(VLOOKUP(G76,ราคาคอร์ส!$A:$C,2,FALSE)/60,"")</f>
        <v/>
      </c>
      <c r="I76" s="2">
        <f>IFERROR(VLOOKUP(G76,ราคาคอร์ส!$A:$C,3,FALSE),"")</f>
        <v/>
      </c>
    </row>
    <row r="77">
      <c r="H77" s="2">
        <f>IFERROR(VLOOKUP(G77,ราคาคอร์ส!$A:$C,2,FALSE)/60,"")</f>
        <v/>
      </c>
      <c r="I77" s="2">
        <f>IFERROR(VLOOKUP(G77,ราคาคอร์ส!$A:$C,3,FALSE),"")</f>
        <v/>
      </c>
    </row>
    <row r="78">
      <c r="H78" s="2">
        <f>IFERROR(VLOOKUP(G78,ราคาคอร์ส!$A:$C,2,FALSE)/60,"")</f>
        <v/>
      </c>
      <c r="I78" s="2">
        <f>IFERROR(VLOOKUP(G78,ราคาคอร์ส!$A:$C,3,FALSE),"")</f>
        <v/>
      </c>
    </row>
    <row r="79">
      <c r="H79" s="2">
        <f>IFERROR(VLOOKUP(G79,ราคาคอร์ส!$A:$C,2,FALSE)/60,"")</f>
        <v/>
      </c>
      <c r="I79" s="2">
        <f>IFERROR(VLOOKUP(G79,ราคาคอร์ส!$A:$C,3,FALSE),"")</f>
        <v/>
      </c>
    </row>
    <row r="80">
      <c r="H80" s="2">
        <f>IFERROR(VLOOKUP(G80,ราคาคอร์ส!$A:$C,2,FALSE)/60,"")</f>
        <v/>
      </c>
      <c r="I80" s="2">
        <f>IFERROR(VLOOKUP(G80,ราคาคอร์ส!$A:$C,3,FALSE),"")</f>
        <v/>
      </c>
    </row>
    <row r="81">
      <c r="H81" s="2">
        <f>IFERROR(VLOOKUP(G81,ราคาคอร์ส!$A:$C,2,FALSE)/60,"")</f>
        <v/>
      </c>
      <c r="I81" s="2">
        <f>IFERROR(VLOOKUP(G81,ราคาคอร์ส!$A:$C,3,FALSE),"")</f>
        <v/>
      </c>
    </row>
    <row r="82">
      <c r="H82" s="2">
        <f>IFERROR(VLOOKUP(G82,ราคาคอร์ส!$A:$C,2,FALSE)/60,"")</f>
        <v/>
      </c>
      <c r="I82" s="2">
        <f>IFERROR(VLOOKUP(G82,ราคาคอร์ส!$A:$C,3,FALSE),"")</f>
        <v/>
      </c>
    </row>
    <row r="83">
      <c r="H83" s="2">
        <f>IFERROR(VLOOKUP(G83,ราคาคอร์ส!$A:$C,2,FALSE)/60,"")</f>
        <v/>
      </c>
      <c r="I83" s="2">
        <f>IFERROR(VLOOKUP(G83,ราคาคอร์ส!$A:$C,3,FALSE),"")</f>
        <v/>
      </c>
    </row>
    <row r="84">
      <c r="H84" s="2">
        <f>IFERROR(VLOOKUP(G84,ราคาคอร์ส!$A:$C,2,FALSE)/60,"")</f>
        <v/>
      </c>
      <c r="I84" s="2">
        <f>IFERROR(VLOOKUP(G84,ราคาคอร์ส!$A:$C,3,FALSE),"")</f>
        <v/>
      </c>
    </row>
    <row r="85">
      <c r="H85" s="2">
        <f>IFERROR(VLOOKUP(G85,ราคาคอร์ส!$A:$C,2,FALSE)/60,"")</f>
        <v/>
      </c>
      <c r="I85" s="2">
        <f>IFERROR(VLOOKUP(G85,ราคาคอร์ส!$A:$C,3,FALSE),"")</f>
        <v/>
      </c>
    </row>
    <row r="86">
      <c r="H86" s="2">
        <f>IFERROR(VLOOKUP(G86,ราคาคอร์ส!$A:$C,2,FALSE)/60,"")</f>
        <v/>
      </c>
      <c r="I86" s="2">
        <f>IFERROR(VLOOKUP(G86,ราคาคอร์ส!$A:$C,3,FALSE),"")</f>
        <v/>
      </c>
    </row>
    <row r="87">
      <c r="H87" s="2">
        <f>IFERROR(VLOOKUP(G87,ราคาคอร์ส!$A:$C,2,FALSE)/60,"")</f>
        <v/>
      </c>
      <c r="I87" s="2">
        <f>IFERROR(VLOOKUP(G87,ราคาคอร์ส!$A:$C,3,FALSE),"")</f>
        <v/>
      </c>
    </row>
    <row r="88">
      <c r="H88" s="2">
        <f>IFERROR(VLOOKUP(G88,ราคาคอร์ส!$A:$C,2,FALSE)/60,"")</f>
        <v/>
      </c>
      <c r="I88" s="2">
        <f>IFERROR(VLOOKUP(G88,ราคาคอร์ส!$A:$C,3,FALSE),"")</f>
        <v/>
      </c>
    </row>
    <row r="89">
      <c r="H89" s="2">
        <f>IFERROR(VLOOKUP(G89,ราคาคอร์ส!$A:$C,2,FALSE)/60,"")</f>
        <v/>
      </c>
      <c r="I89" s="2">
        <f>IFERROR(VLOOKUP(G89,ราคาคอร์ส!$A:$C,3,FALSE),"")</f>
        <v/>
      </c>
    </row>
    <row r="90">
      <c r="H90" s="2">
        <f>IFERROR(VLOOKUP(G90,ราคาคอร์ส!$A:$C,2,FALSE)/60,"")</f>
        <v/>
      </c>
      <c r="I90" s="2">
        <f>IFERROR(VLOOKUP(G90,ราคาคอร์ส!$A:$C,3,FALSE),"")</f>
        <v/>
      </c>
    </row>
    <row r="91">
      <c r="H91" s="2">
        <f>IFERROR(VLOOKUP(G91,ราคาคอร์ส!$A:$C,2,FALSE)/60,"")</f>
        <v/>
      </c>
      <c r="I91" s="2">
        <f>IFERROR(VLOOKUP(G91,ราคาคอร์ส!$A:$C,3,FALSE),"")</f>
        <v/>
      </c>
    </row>
    <row r="92">
      <c r="H92" s="2">
        <f>IFERROR(VLOOKUP(G92,ราคาคอร์ส!$A:$C,2,FALSE)/60,"")</f>
        <v/>
      </c>
      <c r="I92" s="2">
        <f>IFERROR(VLOOKUP(G92,ราคาคอร์ส!$A:$C,3,FALSE),"")</f>
        <v/>
      </c>
    </row>
    <row r="93">
      <c r="H93" s="2">
        <f>IFERROR(VLOOKUP(G93,ราคาคอร์ส!$A:$C,2,FALSE)/60,"")</f>
        <v/>
      </c>
      <c r="I93" s="2">
        <f>IFERROR(VLOOKUP(G93,ราคาคอร์ส!$A:$C,3,FALSE),"")</f>
        <v/>
      </c>
    </row>
    <row r="94">
      <c r="H94" s="2">
        <f>IFERROR(VLOOKUP(G94,ราคาคอร์ส!$A:$C,2,FALSE)/60,"")</f>
        <v/>
      </c>
      <c r="I94" s="2">
        <f>IFERROR(VLOOKUP(G94,ราคาคอร์ส!$A:$C,3,FALSE),"")</f>
        <v/>
      </c>
    </row>
    <row r="95">
      <c r="H95" s="2">
        <f>IFERROR(VLOOKUP(G95,ราคาคอร์ส!$A:$C,2,FALSE)/60,"")</f>
        <v/>
      </c>
      <c r="I95" s="2">
        <f>IFERROR(VLOOKUP(G95,ราคาคอร์ส!$A:$C,3,FALSE),"")</f>
        <v/>
      </c>
    </row>
    <row r="96">
      <c r="H96" s="2">
        <f>IFERROR(VLOOKUP(G96,ราคาคอร์ส!$A:$C,2,FALSE)/60,"")</f>
        <v/>
      </c>
      <c r="I96" s="2">
        <f>IFERROR(VLOOKUP(G96,ราคาคอร์ส!$A:$C,3,FALSE),"")</f>
        <v/>
      </c>
    </row>
    <row r="97">
      <c r="H97" s="2">
        <f>IFERROR(VLOOKUP(G97,ราคาคอร์ส!$A:$C,2,FALSE)/60,"")</f>
        <v/>
      </c>
      <c r="I97" s="2">
        <f>IFERROR(VLOOKUP(G97,ราคาคอร์ส!$A:$C,3,FALSE),"")</f>
        <v/>
      </c>
    </row>
    <row r="98">
      <c r="H98" s="2">
        <f>IFERROR(VLOOKUP(G98,ราคาคอร์ส!$A:$C,2,FALSE)/60,"")</f>
        <v/>
      </c>
      <c r="I98" s="2">
        <f>IFERROR(VLOOKUP(G98,ราคาคอร์ส!$A:$C,3,FALSE),"")</f>
        <v/>
      </c>
    </row>
    <row r="99">
      <c r="H99" s="2">
        <f>IFERROR(VLOOKUP(G99,ราคาคอร์ส!$A:$C,2,FALSE)/60,"")</f>
        <v/>
      </c>
      <c r="I99" s="2">
        <f>IFERROR(VLOOKUP(G99,ราคาคอร์ส!$A:$C,3,FALSE),"")</f>
        <v/>
      </c>
    </row>
    <row r="100">
      <c r="H100" s="2">
        <f>IFERROR(VLOOKUP(G100,ราคาคอร์ส!$A:$C,2,FALSE)/60,"")</f>
        <v/>
      </c>
      <c r="I100" s="2">
        <f>IFERROR(VLOOKUP(G100,ราคาคอร์ส!$A:$C,3,FALSE),"")</f>
        <v/>
      </c>
    </row>
    <row r="101">
      <c r="H101" s="2">
        <f>IFERROR(VLOOKUP(G101,ราคาคอร์ส!$A:$C,2,FALSE)/60,"")</f>
        <v/>
      </c>
      <c r="I101" s="2">
        <f>IFERROR(VLOOKUP(G101,ราคาคอร์ส!$A:$C,3,FALSE),"")</f>
        <v/>
      </c>
    </row>
    <row r="102">
      <c r="H102" s="2">
        <f>IFERROR(VLOOKUP(G102,ราคาคอร์ส!$A:$C,2,FALSE)/60,"")</f>
        <v/>
      </c>
      <c r="I102" s="2">
        <f>IFERROR(VLOOKUP(G102,ราคาคอร์ส!$A:$C,3,FALSE),"")</f>
        <v/>
      </c>
    </row>
    <row r="103">
      <c r="H103" s="2">
        <f>IFERROR(VLOOKUP(G103,ราคาคอร์ส!$A:$C,2,FALSE)/60,"")</f>
        <v/>
      </c>
      <c r="I103" s="2">
        <f>IFERROR(VLOOKUP(G103,ราคาคอร์ส!$A:$C,3,FALSE),"")</f>
        <v/>
      </c>
    </row>
    <row r="104">
      <c r="H104" s="2">
        <f>IFERROR(VLOOKUP(G104,ราคาคอร์ส!$A:$C,2,FALSE)/60,"")</f>
        <v/>
      </c>
      <c r="I104" s="2">
        <f>IFERROR(VLOOKUP(G104,ราคาคอร์ส!$A:$C,3,FALSE),"")</f>
        <v/>
      </c>
    </row>
    <row r="105">
      <c r="H105" s="2">
        <f>IFERROR(VLOOKUP(G105,ราคาคอร์ส!$A:$C,2,FALSE)/60,"")</f>
        <v/>
      </c>
      <c r="I105" s="2">
        <f>IFERROR(VLOOKUP(G105,ราคาคอร์ส!$A:$C,3,FALSE),"")</f>
        <v/>
      </c>
    </row>
    <row r="106">
      <c r="H106" s="2">
        <f>IFERROR(VLOOKUP(G106,ราคาคอร์ส!$A:$C,2,FALSE)/60,"")</f>
        <v/>
      </c>
      <c r="I106" s="2">
        <f>IFERROR(VLOOKUP(G106,ราคาคอร์ส!$A:$C,3,FALSE),"")</f>
        <v/>
      </c>
    </row>
    <row r="107">
      <c r="H107" s="2">
        <f>IFERROR(VLOOKUP(G107,ราคาคอร์ส!$A:$C,2,FALSE)/60,"")</f>
        <v/>
      </c>
      <c r="I107" s="2">
        <f>IFERROR(VLOOKUP(G107,ราคาคอร์ส!$A:$C,3,FALSE),"")</f>
        <v/>
      </c>
    </row>
    <row r="108">
      <c r="H108" s="2">
        <f>IFERROR(VLOOKUP(G108,ราคาคอร์ส!$A:$C,2,FALSE)/60,"")</f>
        <v/>
      </c>
      <c r="I108" s="2">
        <f>IFERROR(VLOOKUP(G108,ราคาคอร์ส!$A:$C,3,FALSE),"")</f>
        <v/>
      </c>
    </row>
    <row r="109">
      <c r="H109" s="2">
        <f>IFERROR(VLOOKUP(G109,ราคาคอร์ส!$A:$C,2,FALSE)/60,"")</f>
        <v/>
      </c>
      <c r="I109" s="2">
        <f>IFERROR(VLOOKUP(G109,ราคาคอร์ส!$A:$C,3,FALSE),"")</f>
        <v/>
      </c>
    </row>
    <row r="110">
      <c r="H110" s="2">
        <f>IFERROR(VLOOKUP(G110,ราคาคอร์ส!$A:$C,2,FALSE)/60,"")</f>
        <v/>
      </c>
      <c r="I110" s="2">
        <f>IFERROR(VLOOKUP(G110,ราคาคอร์ส!$A:$C,3,FALSE),"")</f>
        <v/>
      </c>
    </row>
    <row r="111">
      <c r="H111" s="2">
        <f>IFERROR(VLOOKUP(G111,ราคาคอร์ส!$A:$C,2,FALSE)/60,"")</f>
        <v/>
      </c>
      <c r="I111" s="2">
        <f>IFERROR(VLOOKUP(G111,ราคาคอร์ส!$A:$C,3,FALSE),"")</f>
        <v/>
      </c>
    </row>
    <row r="112">
      <c r="H112" s="2">
        <f>IFERROR(VLOOKUP(G112,ราคาคอร์ส!$A:$C,2,FALSE)/60,"")</f>
        <v/>
      </c>
      <c r="I112" s="2">
        <f>IFERROR(VLOOKUP(G112,ราคาคอร์ส!$A:$C,3,FALSE),"")</f>
        <v/>
      </c>
    </row>
    <row r="113">
      <c r="H113" s="2">
        <f>IFERROR(VLOOKUP(G113,ราคาคอร์ส!$A:$C,2,FALSE)/60,"")</f>
        <v/>
      </c>
      <c r="I113" s="2">
        <f>IFERROR(VLOOKUP(G113,ราคาคอร์ส!$A:$C,3,FALSE),"")</f>
        <v/>
      </c>
    </row>
    <row r="114">
      <c r="H114" s="2">
        <f>IFERROR(VLOOKUP(G114,ราคาคอร์ส!$A:$C,2,FALSE)/60,"")</f>
        <v/>
      </c>
      <c r="I114" s="2">
        <f>IFERROR(VLOOKUP(G114,ราคาคอร์ส!$A:$C,3,FALSE),"")</f>
        <v/>
      </c>
    </row>
    <row r="115">
      <c r="H115" s="2">
        <f>IFERROR(VLOOKUP(G115,ราคาคอร์ส!$A:$C,2,FALSE)/60,"")</f>
        <v/>
      </c>
      <c r="I115" s="2">
        <f>IFERROR(VLOOKUP(G115,ราคาคอร์ส!$A:$C,3,FALSE),"")</f>
        <v/>
      </c>
    </row>
    <row r="116">
      <c r="H116" s="2">
        <f>IFERROR(VLOOKUP(G116,ราคาคอร์ส!$A:$C,2,FALSE)/60,"")</f>
        <v/>
      </c>
      <c r="I116" s="2">
        <f>IFERROR(VLOOKUP(G116,ราคาคอร์ส!$A:$C,3,FALSE),"")</f>
        <v/>
      </c>
    </row>
    <row r="117">
      <c r="H117" s="2">
        <f>IFERROR(VLOOKUP(G117,ราคาคอร์ส!$A:$C,2,FALSE)/60,"")</f>
        <v/>
      </c>
      <c r="I117" s="2">
        <f>IFERROR(VLOOKUP(G117,ราคาคอร์ส!$A:$C,3,FALSE),"")</f>
        <v/>
      </c>
    </row>
    <row r="118">
      <c r="H118" s="2">
        <f>IFERROR(VLOOKUP(G118,ราคาคอร์ส!$A:$C,2,FALSE)/60,"")</f>
        <v/>
      </c>
      <c r="I118" s="2">
        <f>IFERROR(VLOOKUP(G118,ราคาคอร์ส!$A:$C,3,FALSE),"")</f>
        <v/>
      </c>
    </row>
    <row r="119">
      <c r="H119" s="2">
        <f>IFERROR(VLOOKUP(G119,ราคาคอร์ส!$A:$C,2,FALSE)/60,"")</f>
        <v/>
      </c>
      <c r="I119" s="2">
        <f>IFERROR(VLOOKUP(G119,ราคาคอร์ส!$A:$C,3,FALSE),"")</f>
        <v/>
      </c>
    </row>
    <row r="120">
      <c r="H120" s="2">
        <f>IFERROR(VLOOKUP(G120,ราคาคอร์ส!$A:$C,2,FALSE)/60,"")</f>
        <v/>
      </c>
      <c r="I120" s="2">
        <f>IFERROR(VLOOKUP(G120,ราคาคอร์ส!$A:$C,3,FALSE),"")</f>
        <v/>
      </c>
    </row>
    <row r="121">
      <c r="H121" s="2">
        <f>IFERROR(VLOOKUP(G121,ราคาคอร์ส!$A:$C,2,FALSE)/60,"")</f>
        <v/>
      </c>
      <c r="I121" s="2">
        <f>IFERROR(VLOOKUP(G121,ราคาคอร์ส!$A:$C,3,FALSE),"")</f>
        <v/>
      </c>
    </row>
    <row r="122">
      <c r="H122" s="2">
        <f>IFERROR(VLOOKUP(G122,ราคาคอร์ส!$A:$C,2,FALSE)/60,"")</f>
        <v/>
      </c>
      <c r="I122" s="2">
        <f>IFERROR(VLOOKUP(G122,ราคาคอร์ส!$A:$C,3,FALSE),"")</f>
        <v/>
      </c>
    </row>
    <row r="123">
      <c r="H123" s="2">
        <f>IFERROR(VLOOKUP(G123,ราคาคอร์ส!$A:$C,2,FALSE)/60,"")</f>
        <v/>
      </c>
      <c r="I123" s="2">
        <f>IFERROR(VLOOKUP(G123,ราคาคอร์ส!$A:$C,3,FALSE),"")</f>
        <v/>
      </c>
    </row>
    <row r="124">
      <c r="H124" s="2">
        <f>IFERROR(VLOOKUP(G124,ราคาคอร์ส!$A:$C,2,FALSE)/60,"")</f>
        <v/>
      </c>
      <c r="I124" s="2">
        <f>IFERROR(VLOOKUP(G124,ราคาคอร์ส!$A:$C,3,FALSE),"")</f>
        <v/>
      </c>
    </row>
    <row r="125">
      <c r="H125" s="2">
        <f>IFERROR(VLOOKUP(G125,ราคาคอร์ส!$A:$C,2,FALSE)/60,"")</f>
        <v/>
      </c>
      <c r="I125" s="2">
        <f>IFERROR(VLOOKUP(G125,ราคาคอร์ส!$A:$C,3,FALSE),"")</f>
        <v/>
      </c>
    </row>
    <row r="126">
      <c r="H126" s="2">
        <f>IFERROR(VLOOKUP(G126,ราคาคอร์ส!$A:$C,2,FALSE)/60,"")</f>
        <v/>
      </c>
      <c r="I126" s="2">
        <f>IFERROR(VLOOKUP(G126,ราคาคอร์ส!$A:$C,3,FALSE),"")</f>
        <v/>
      </c>
    </row>
    <row r="127">
      <c r="H127" s="2">
        <f>IFERROR(VLOOKUP(G127,ราคาคอร์ส!$A:$C,2,FALSE)/60,"")</f>
        <v/>
      </c>
      <c r="I127" s="2">
        <f>IFERROR(VLOOKUP(G127,ราคาคอร์ส!$A:$C,3,FALSE),"")</f>
        <v/>
      </c>
    </row>
    <row r="128">
      <c r="H128" s="2">
        <f>IFERROR(VLOOKUP(G128,ราคาคอร์ส!$A:$C,2,FALSE)/60,"")</f>
        <v/>
      </c>
      <c r="I128" s="2">
        <f>IFERROR(VLOOKUP(G128,ราคาคอร์ส!$A:$C,3,FALSE),"")</f>
        <v/>
      </c>
    </row>
    <row r="129">
      <c r="H129" s="2">
        <f>IFERROR(VLOOKUP(G129,ราคาคอร์ส!$A:$C,2,FALSE)/60,"")</f>
        <v/>
      </c>
      <c r="I129" s="2">
        <f>IFERROR(VLOOKUP(G129,ราคาคอร์ส!$A:$C,3,FALSE),"")</f>
        <v/>
      </c>
    </row>
    <row r="130">
      <c r="H130" s="2">
        <f>IFERROR(VLOOKUP(G130,ราคาคอร์ส!$A:$C,2,FALSE)/60,"")</f>
        <v/>
      </c>
      <c r="I130" s="2">
        <f>IFERROR(VLOOKUP(G130,ราคาคอร์ส!$A:$C,3,FALSE),"")</f>
        <v/>
      </c>
    </row>
    <row r="131">
      <c r="H131" s="2">
        <f>IFERROR(VLOOKUP(G131,ราคาคอร์ส!$A:$C,2,FALSE)/60,"")</f>
        <v/>
      </c>
      <c r="I131" s="2">
        <f>IFERROR(VLOOKUP(G131,ราคาคอร์ส!$A:$C,3,FALSE),"")</f>
        <v/>
      </c>
    </row>
    <row r="132">
      <c r="H132" s="2">
        <f>IFERROR(VLOOKUP(G132,ราคาคอร์ส!$A:$C,2,FALSE)/60,"")</f>
        <v/>
      </c>
      <c r="I132" s="2">
        <f>IFERROR(VLOOKUP(G132,ราคาคอร์ส!$A:$C,3,FALSE),"")</f>
        <v/>
      </c>
    </row>
    <row r="133">
      <c r="H133" s="2">
        <f>IFERROR(VLOOKUP(G133,ราคาคอร์ส!$A:$C,2,FALSE)/60,"")</f>
        <v/>
      </c>
      <c r="I133" s="2">
        <f>IFERROR(VLOOKUP(G133,ราคาคอร์ส!$A:$C,3,FALSE),"")</f>
        <v/>
      </c>
    </row>
    <row r="134">
      <c r="H134" s="2">
        <f>IFERROR(VLOOKUP(G134,ราคาคอร์ส!$A:$C,2,FALSE)/60,"")</f>
        <v/>
      </c>
      <c r="I134" s="2">
        <f>IFERROR(VLOOKUP(G134,ราคาคอร์ส!$A:$C,3,FALSE),"")</f>
        <v/>
      </c>
    </row>
    <row r="135">
      <c r="H135" s="2">
        <f>IFERROR(VLOOKUP(G135,ราคาคอร์ส!$A:$C,2,FALSE)/60,"")</f>
        <v/>
      </c>
      <c r="I135" s="2">
        <f>IFERROR(VLOOKUP(G135,ราคาคอร์ส!$A:$C,3,FALSE),"")</f>
        <v/>
      </c>
    </row>
    <row r="136">
      <c r="H136" s="2">
        <f>IFERROR(VLOOKUP(G136,ราคาคอร์ส!$A:$C,2,FALSE)/60,"")</f>
        <v/>
      </c>
      <c r="I136" s="2">
        <f>IFERROR(VLOOKUP(G136,ราคาคอร์ส!$A:$C,3,FALSE),"")</f>
        <v/>
      </c>
    </row>
    <row r="137">
      <c r="H137" s="2">
        <f>IFERROR(VLOOKUP(G137,ราคาคอร์ส!$A:$C,2,FALSE)/60,"")</f>
        <v/>
      </c>
      <c r="I137" s="2">
        <f>IFERROR(VLOOKUP(G137,ราคาคอร์ส!$A:$C,3,FALSE),"")</f>
        <v/>
      </c>
    </row>
    <row r="138">
      <c r="H138" s="2">
        <f>IFERROR(VLOOKUP(G138,ราคาคอร์ส!$A:$C,2,FALSE)/60,"")</f>
        <v/>
      </c>
      <c r="I138" s="2">
        <f>IFERROR(VLOOKUP(G138,ราคาคอร์ส!$A:$C,3,FALSE),"")</f>
        <v/>
      </c>
    </row>
    <row r="139">
      <c r="H139" s="2">
        <f>IFERROR(VLOOKUP(G139,ราคาคอร์ส!$A:$C,2,FALSE)/60,"")</f>
        <v/>
      </c>
      <c r="I139" s="2">
        <f>IFERROR(VLOOKUP(G139,ราคาคอร์ส!$A:$C,3,FALSE),"")</f>
        <v/>
      </c>
    </row>
    <row r="140">
      <c r="H140" s="2">
        <f>IFERROR(VLOOKUP(G140,ราคาคอร์ส!$A:$C,2,FALSE)/60,"")</f>
        <v/>
      </c>
      <c r="I140" s="2">
        <f>IFERROR(VLOOKUP(G140,ราคาคอร์ส!$A:$C,3,FALSE),"")</f>
        <v/>
      </c>
    </row>
    <row r="141">
      <c r="H141" s="2">
        <f>IFERROR(VLOOKUP(G141,ราคาคอร์ส!$A:$C,2,FALSE)/60,"")</f>
        <v/>
      </c>
      <c r="I141" s="2">
        <f>IFERROR(VLOOKUP(G141,ราคาคอร์ส!$A:$C,3,FALSE),"")</f>
        <v/>
      </c>
    </row>
    <row r="142">
      <c r="H142" s="2">
        <f>IFERROR(VLOOKUP(G142,ราคาคอร์ส!$A:$C,2,FALSE)/60,"")</f>
        <v/>
      </c>
      <c r="I142" s="2">
        <f>IFERROR(VLOOKUP(G142,ราคาคอร์ส!$A:$C,3,FALSE),"")</f>
        <v/>
      </c>
    </row>
    <row r="143">
      <c r="H143" s="2">
        <f>IFERROR(VLOOKUP(G143,ราคาคอร์ส!$A:$C,2,FALSE)/60,"")</f>
        <v/>
      </c>
      <c r="I143" s="2">
        <f>IFERROR(VLOOKUP(G143,ราคาคอร์ส!$A:$C,3,FALSE),"")</f>
        <v/>
      </c>
    </row>
    <row r="144">
      <c r="H144" s="2">
        <f>IFERROR(VLOOKUP(G144,ราคาคอร์ส!$A:$C,2,FALSE)/60,"")</f>
        <v/>
      </c>
      <c r="I144" s="2">
        <f>IFERROR(VLOOKUP(G144,ราคาคอร์ส!$A:$C,3,FALSE),"")</f>
        <v/>
      </c>
    </row>
    <row r="145">
      <c r="H145" s="2">
        <f>IFERROR(VLOOKUP(G145,ราคาคอร์ส!$A:$C,2,FALSE)/60,"")</f>
        <v/>
      </c>
      <c r="I145" s="2">
        <f>IFERROR(VLOOKUP(G145,ราคาคอร์ส!$A:$C,3,FALSE),"")</f>
        <v/>
      </c>
    </row>
    <row r="146">
      <c r="H146" s="2">
        <f>IFERROR(VLOOKUP(G146,ราคาคอร์ส!$A:$C,2,FALSE)/60,"")</f>
        <v/>
      </c>
      <c r="I146" s="2">
        <f>IFERROR(VLOOKUP(G146,ราคาคอร์ส!$A:$C,3,FALSE),"")</f>
        <v/>
      </c>
    </row>
    <row r="147">
      <c r="H147" s="2">
        <f>IFERROR(VLOOKUP(G147,ราคาคอร์ส!$A:$C,2,FALSE)/60,"")</f>
        <v/>
      </c>
      <c r="I147" s="2">
        <f>IFERROR(VLOOKUP(G147,ราคาคอร์ส!$A:$C,3,FALSE),"")</f>
        <v/>
      </c>
    </row>
    <row r="148">
      <c r="H148" s="2">
        <f>IFERROR(VLOOKUP(G148,ราคาคอร์ส!$A:$C,2,FALSE)/60,"")</f>
        <v/>
      </c>
      <c r="I148" s="2">
        <f>IFERROR(VLOOKUP(G148,ราคาคอร์ส!$A:$C,3,FALSE),"")</f>
        <v/>
      </c>
    </row>
    <row r="149">
      <c r="H149" s="2">
        <f>IFERROR(VLOOKUP(G149,ราคาคอร์ส!$A:$C,2,FALSE)/60,"")</f>
        <v/>
      </c>
      <c r="I149" s="2">
        <f>IFERROR(VLOOKUP(G149,ราคาคอร์ส!$A:$C,3,FALSE),"")</f>
        <v/>
      </c>
    </row>
    <row r="150">
      <c r="H150" s="2">
        <f>IFERROR(VLOOKUP(G150,ราคาคอร์ส!$A:$C,2,FALSE)/60,"")</f>
        <v/>
      </c>
      <c r="I150" s="2">
        <f>IFERROR(VLOOKUP(G150,ราคาคอร์ส!$A:$C,3,FALSE),"")</f>
        <v/>
      </c>
    </row>
    <row r="151">
      <c r="H151" s="2">
        <f>IFERROR(VLOOKUP(G151,ราคาคอร์ส!$A:$C,2,FALSE)/60,"")</f>
        <v/>
      </c>
      <c r="I151" s="2">
        <f>IFERROR(VLOOKUP(G151,ราคาคอร์ส!$A:$C,3,FALSE),"")</f>
        <v/>
      </c>
    </row>
    <row r="152">
      <c r="H152" s="2">
        <f>IFERROR(VLOOKUP(G152,ราคาคอร์ส!$A:$C,2,FALSE)/60,"")</f>
        <v/>
      </c>
      <c r="I152" s="2">
        <f>IFERROR(VLOOKUP(G152,ราคาคอร์ส!$A:$C,3,FALSE),"")</f>
        <v/>
      </c>
    </row>
    <row r="153">
      <c r="H153" s="2">
        <f>IFERROR(VLOOKUP(G153,ราคาคอร์ส!$A:$C,2,FALSE)/60,"")</f>
        <v/>
      </c>
      <c r="I153" s="2">
        <f>IFERROR(VLOOKUP(G153,ราคาคอร์ส!$A:$C,3,FALSE),"")</f>
        <v/>
      </c>
    </row>
    <row r="154">
      <c r="H154" s="2">
        <f>IFERROR(VLOOKUP(G154,ราคาคอร์ส!$A:$C,2,FALSE)/60,"")</f>
        <v/>
      </c>
      <c r="I154" s="2">
        <f>IFERROR(VLOOKUP(G154,ราคาคอร์ส!$A:$C,3,FALSE),"")</f>
        <v/>
      </c>
    </row>
    <row r="155">
      <c r="H155" s="2">
        <f>IFERROR(VLOOKUP(G155,ราคาคอร์ส!$A:$C,2,FALSE)/60,"")</f>
        <v/>
      </c>
      <c r="I155" s="2">
        <f>IFERROR(VLOOKUP(G155,ราคาคอร์ส!$A:$C,3,FALSE),"")</f>
        <v/>
      </c>
    </row>
    <row r="156">
      <c r="H156" s="2">
        <f>IFERROR(VLOOKUP(G156,ราคาคอร์ส!$A:$C,2,FALSE)/60,"")</f>
        <v/>
      </c>
      <c r="I156" s="2">
        <f>IFERROR(VLOOKUP(G156,ราคาคอร์ส!$A:$C,3,FALSE),"")</f>
        <v/>
      </c>
    </row>
    <row r="157">
      <c r="H157" s="2">
        <f>IFERROR(VLOOKUP(G157,ราคาคอร์ส!$A:$C,2,FALSE)/60,"")</f>
        <v/>
      </c>
      <c r="I157" s="2">
        <f>IFERROR(VLOOKUP(G157,ราคาคอร์ส!$A:$C,3,FALSE),"")</f>
        <v/>
      </c>
    </row>
    <row r="158">
      <c r="H158" s="2">
        <f>IFERROR(VLOOKUP(G158,ราคาคอร์ส!$A:$C,2,FALSE)/60,"")</f>
        <v/>
      </c>
      <c r="I158" s="2">
        <f>IFERROR(VLOOKUP(G158,ราคาคอร์ส!$A:$C,3,FALSE),"")</f>
        <v/>
      </c>
    </row>
    <row r="159">
      <c r="H159" s="2">
        <f>IFERROR(VLOOKUP(G159,ราคาคอร์ส!$A:$C,2,FALSE)/60,"")</f>
        <v/>
      </c>
      <c r="I159" s="2">
        <f>IFERROR(VLOOKUP(G159,ราคาคอร์ส!$A:$C,3,FALSE),"")</f>
        <v/>
      </c>
    </row>
    <row r="160">
      <c r="H160" s="2">
        <f>IFERROR(VLOOKUP(G160,ราคาคอร์ส!$A:$C,2,FALSE)/60,"")</f>
        <v/>
      </c>
      <c r="I160" s="2">
        <f>IFERROR(VLOOKUP(G160,ราคาคอร์ส!$A:$C,3,FALSE),"")</f>
        <v/>
      </c>
    </row>
    <row r="161">
      <c r="H161" s="2">
        <f>IFERROR(VLOOKUP(G161,ราคาคอร์ส!$A:$C,2,FALSE)/60,"")</f>
        <v/>
      </c>
      <c r="I161" s="2">
        <f>IFERROR(VLOOKUP(G161,ราคาคอร์ส!$A:$C,3,FALSE),"")</f>
        <v/>
      </c>
    </row>
    <row r="162">
      <c r="H162" s="2">
        <f>IFERROR(VLOOKUP(G162,ราคาคอร์ส!$A:$C,2,FALSE)/60,"")</f>
        <v/>
      </c>
      <c r="I162" s="2">
        <f>IFERROR(VLOOKUP(G162,ราคาคอร์ส!$A:$C,3,FALSE),"")</f>
        <v/>
      </c>
    </row>
    <row r="163">
      <c r="H163" s="2">
        <f>IFERROR(VLOOKUP(G163,ราคาคอร์ส!$A:$C,2,FALSE)/60,"")</f>
        <v/>
      </c>
      <c r="I163" s="2">
        <f>IFERROR(VLOOKUP(G163,ราคาคอร์ส!$A:$C,3,FALSE),"")</f>
        <v/>
      </c>
    </row>
    <row r="164">
      <c r="H164" s="2">
        <f>IFERROR(VLOOKUP(G164,ราคาคอร์ส!$A:$C,2,FALSE)/60,"")</f>
        <v/>
      </c>
      <c r="I164" s="2">
        <f>IFERROR(VLOOKUP(G164,ราคาคอร์ส!$A:$C,3,FALSE),"")</f>
        <v/>
      </c>
    </row>
    <row r="165">
      <c r="H165" s="2">
        <f>IFERROR(VLOOKUP(G165,ราคาคอร์ส!$A:$C,2,FALSE)/60,"")</f>
        <v/>
      </c>
      <c r="I165" s="2">
        <f>IFERROR(VLOOKUP(G165,ราคาคอร์ส!$A:$C,3,FALSE),"")</f>
        <v/>
      </c>
    </row>
    <row r="166">
      <c r="H166" s="2">
        <f>IFERROR(VLOOKUP(G166,ราคาคอร์ส!$A:$C,2,FALSE)/60,"")</f>
        <v/>
      </c>
      <c r="I166" s="2">
        <f>IFERROR(VLOOKUP(G166,ราคาคอร์ส!$A:$C,3,FALSE),"")</f>
        <v/>
      </c>
    </row>
    <row r="167">
      <c r="H167" s="2">
        <f>IFERROR(VLOOKUP(G167,ราคาคอร์ส!$A:$C,2,FALSE)/60,"")</f>
        <v/>
      </c>
      <c r="I167" s="2">
        <f>IFERROR(VLOOKUP(G167,ราคาคอร์ส!$A:$C,3,FALSE),"")</f>
        <v/>
      </c>
    </row>
    <row r="168">
      <c r="H168" s="2">
        <f>IFERROR(VLOOKUP(G168,ราคาคอร์ส!$A:$C,2,FALSE)/60,"")</f>
        <v/>
      </c>
      <c r="I168" s="2">
        <f>IFERROR(VLOOKUP(G168,ราคาคอร์ส!$A:$C,3,FALSE),"")</f>
        <v/>
      </c>
    </row>
    <row r="169">
      <c r="H169" s="2">
        <f>IFERROR(VLOOKUP(G169,ราคาคอร์ส!$A:$C,2,FALSE)/60,"")</f>
        <v/>
      </c>
      <c r="I169" s="2">
        <f>IFERROR(VLOOKUP(G169,ราคาคอร์ส!$A:$C,3,FALSE),"")</f>
        <v/>
      </c>
    </row>
    <row r="170">
      <c r="H170" s="2">
        <f>IFERROR(VLOOKUP(G170,ราคาคอร์ส!$A:$C,2,FALSE)/60,"")</f>
        <v/>
      </c>
      <c r="I170" s="2">
        <f>IFERROR(VLOOKUP(G170,ราคาคอร์ส!$A:$C,3,FALSE),"")</f>
        <v/>
      </c>
    </row>
    <row r="171">
      <c r="H171" s="2">
        <f>IFERROR(VLOOKUP(G171,ราคาคอร์ส!$A:$C,2,FALSE)/60,"")</f>
        <v/>
      </c>
      <c r="I171" s="2">
        <f>IFERROR(VLOOKUP(G171,ราคาคอร์ส!$A:$C,3,FALSE),"")</f>
        <v/>
      </c>
    </row>
    <row r="172">
      <c r="H172" s="2">
        <f>IFERROR(VLOOKUP(G172,ราคาคอร์ส!$A:$C,2,FALSE)/60,"")</f>
        <v/>
      </c>
      <c r="I172" s="2">
        <f>IFERROR(VLOOKUP(G172,ราคาคอร์ส!$A:$C,3,FALSE),"")</f>
        <v/>
      </c>
    </row>
    <row r="173">
      <c r="H173" s="2">
        <f>IFERROR(VLOOKUP(G173,ราคาคอร์ส!$A:$C,2,FALSE)/60,"")</f>
        <v/>
      </c>
      <c r="I173" s="2">
        <f>IFERROR(VLOOKUP(G173,ราคาคอร์ส!$A:$C,3,FALSE),"")</f>
        <v/>
      </c>
    </row>
    <row r="174">
      <c r="H174" s="2">
        <f>IFERROR(VLOOKUP(G174,ราคาคอร์ส!$A:$C,2,FALSE)/60,"")</f>
        <v/>
      </c>
      <c r="I174" s="2">
        <f>IFERROR(VLOOKUP(G174,ราคาคอร์ส!$A:$C,3,FALSE),"")</f>
        <v/>
      </c>
    </row>
    <row r="175">
      <c r="H175" s="2">
        <f>IFERROR(VLOOKUP(G175,ราคาคอร์ส!$A:$C,2,FALSE)/60,"")</f>
        <v/>
      </c>
      <c r="I175" s="2">
        <f>IFERROR(VLOOKUP(G175,ราคาคอร์ส!$A:$C,3,FALSE),"")</f>
        <v/>
      </c>
    </row>
    <row r="176">
      <c r="H176" s="2">
        <f>IFERROR(VLOOKUP(G176,ราคาคอร์ส!$A:$C,2,FALSE)/60,"")</f>
        <v/>
      </c>
      <c r="I176" s="2">
        <f>IFERROR(VLOOKUP(G176,ราคาคอร์ส!$A:$C,3,FALSE),"")</f>
        <v/>
      </c>
    </row>
    <row r="177">
      <c r="H177" s="2">
        <f>IFERROR(VLOOKUP(G177,ราคาคอร์ส!$A:$C,2,FALSE)/60,"")</f>
        <v/>
      </c>
      <c r="I177" s="2">
        <f>IFERROR(VLOOKUP(G177,ราคาคอร์ส!$A:$C,3,FALSE),"")</f>
        <v/>
      </c>
    </row>
    <row r="178">
      <c r="H178" s="2">
        <f>IFERROR(VLOOKUP(G178,ราคาคอร์ส!$A:$C,2,FALSE)/60,"")</f>
        <v/>
      </c>
      <c r="I178" s="2">
        <f>IFERROR(VLOOKUP(G178,ราคาคอร์ส!$A:$C,3,FALSE),"")</f>
        <v/>
      </c>
    </row>
    <row r="179">
      <c r="H179" s="2">
        <f>IFERROR(VLOOKUP(G179,ราคาคอร์ส!$A:$C,2,FALSE)/60,"")</f>
        <v/>
      </c>
      <c r="I179" s="2">
        <f>IFERROR(VLOOKUP(G179,ราคาคอร์ส!$A:$C,3,FALSE),"")</f>
        <v/>
      </c>
    </row>
    <row r="180">
      <c r="H180" s="2">
        <f>IFERROR(VLOOKUP(G180,ราคาคอร์ส!$A:$C,2,FALSE)/60,"")</f>
        <v/>
      </c>
      <c r="I180" s="2">
        <f>IFERROR(VLOOKUP(G180,ราคาคอร์ส!$A:$C,3,FALSE),"")</f>
        <v/>
      </c>
    </row>
    <row r="181">
      <c r="H181" s="2">
        <f>IFERROR(VLOOKUP(G181,ราคาคอร์ส!$A:$C,2,FALSE)/60,"")</f>
        <v/>
      </c>
      <c r="I181" s="2">
        <f>IFERROR(VLOOKUP(G181,ราคาคอร์ส!$A:$C,3,FALSE),"")</f>
        <v/>
      </c>
    </row>
    <row r="182">
      <c r="H182" s="2">
        <f>IFERROR(VLOOKUP(G182,ราคาคอร์ส!$A:$C,2,FALSE)/60,"")</f>
        <v/>
      </c>
      <c r="I182" s="2">
        <f>IFERROR(VLOOKUP(G182,ราคาคอร์ส!$A:$C,3,FALSE),"")</f>
        <v/>
      </c>
    </row>
    <row r="183">
      <c r="H183" s="2">
        <f>IFERROR(VLOOKUP(G183,ราคาคอร์ส!$A:$C,2,FALSE)/60,"")</f>
        <v/>
      </c>
      <c r="I183" s="2">
        <f>IFERROR(VLOOKUP(G183,ราคาคอร์ส!$A:$C,3,FALSE),"")</f>
        <v/>
      </c>
    </row>
    <row r="184">
      <c r="H184" s="2">
        <f>IFERROR(VLOOKUP(G184,ราคาคอร์ส!$A:$C,2,FALSE)/60,"")</f>
        <v/>
      </c>
      <c r="I184" s="2">
        <f>IFERROR(VLOOKUP(G184,ราคาคอร์ส!$A:$C,3,FALSE),"")</f>
        <v/>
      </c>
    </row>
    <row r="185">
      <c r="H185" s="2">
        <f>IFERROR(VLOOKUP(G185,ราคาคอร์ส!$A:$C,2,FALSE)/60,"")</f>
        <v/>
      </c>
      <c r="I185" s="2">
        <f>IFERROR(VLOOKUP(G185,ราคาคอร์ส!$A:$C,3,FALSE),"")</f>
        <v/>
      </c>
    </row>
    <row r="186">
      <c r="H186" s="2">
        <f>IFERROR(VLOOKUP(G186,ราคาคอร์ส!$A:$C,2,FALSE)/60,"")</f>
        <v/>
      </c>
      <c r="I186" s="2">
        <f>IFERROR(VLOOKUP(G186,ราคาคอร์ส!$A:$C,3,FALSE),"")</f>
        <v/>
      </c>
    </row>
    <row r="187">
      <c r="H187" s="2">
        <f>IFERROR(VLOOKUP(G187,ราคาคอร์ส!$A:$C,2,FALSE)/60,"")</f>
        <v/>
      </c>
      <c r="I187" s="2">
        <f>IFERROR(VLOOKUP(G187,ราคาคอร์ส!$A:$C,3,FALSE),"")</f>
        <v/>
      </c>
    </row>
    <row r="188">
      <c r="H188" s="2">
        <f>IFERROR(VLOOKUP(G188,ราคาคอร์ส!$A:$C,2,FALSE)/60,"")</f>
        <v/>
      </c>
      <c r="I188" s="2">
        <f>IFERROR(VLOOKUP(G188,ราคาคอร์ส!$A:$C,3,FALSE),"")</f>
        <v/>
      </c>
    </row>
    <row r="189">
      <c r="H189" s="2">
        <f>IFERROR(VLOOKUP(G189,ราคาคอร์ส!$A:$C,2,FALSE)/60,"")</f>
        <v/>
      </c>
      <c r="I189" s="2">
        <f>IFERROR(VLOOKUP(G189,ราคาคอร์ส!$A:$C,3,FALSE),"")</f>
        <v/>
      </c>
    </row>
    <row r="190">
      <c r="H190" s="2">
        <f>IFERROR(VLOOKUP(G190,ราคาคอร์ส!$A:$C,2,FALSE)/60,"")</f>
        <v/>
      </c>
      <c r="I190" s="2">
        <f>IFERROR(VLOOKUP(G190,ราคาคอร์ส!$A:$C,3,FALSE),"")</f>
        <v/>
      </c>
    </row>
    <row r="191">
      <c r="H191" s="2">
        <f>IFERROR(VLOOKUP(G191,ราคาคอร์ส!$A:$C,2,FALSE)/60,"")</f>
        <v/>
      </c>
      <c r="I191" s="2">
        <f>IFERROR(VLOOKUP(G191,ราคาคอร์ส!$A:$C,3,FALSE),"")</f>
        <v/>
      </c>
    </row>
    <row r="192">
      <c r="H192" s="2">
        <f>IFERROR(VLOOKUP(G192,ราคาคอร์ส!$A:$C,2,FALSE)/60,"")</f>
        <v/>
      </c>
      <c r="I192" s="2">
        <f>IFERROR(VLOOKUP(G192,ราคาคอร์ส!$A:$C,3,FALSE),"")</f>
        <v/>
      </c>
    </row>
    <row r="193">
      <c r="H193" s="2">
        <f>IFERROR(VLOOKUP(G193,ราคาคอร์ส!$A:$C,2,FALSE)/60,"")</f>
        <v/>
      </c>
      <c r="I193" s="2">
        <f>IFERROR(VLOOKUP(G193,ราคาคอร์ส!$A:$C,3,FALSE),"")</f>
        <v/>
      </c>
    </row>
    <row r="194">
      <c r="H194" s="2">
        <f>IFERROR(VLOOKUP(G194,ราคาคอร์ส!$A:$C,2,FALSE)/60,"")</f>
        <v/>
      </c>
      <c r="I194" s="2">
        <f>IFERROR(VLOOKUP(G194,ราคาคอร์ส!$A:$C,3,FALSE),"")</f>
        <v/>
      </c>
    </row>
    <row r="195">
      <c r="H195" s="2">
        <f>IFERROR(VLOOKUP(G195,ราคาคอร์ส!$A:$C,2,FALSE)/60,"")</f>
        <v/>
      </c>
      <c r="I195" s="2">
        <f>IFERROR(VLOOKUP(G195,ราคาคอร์ส!$A:$C,3,FALSE),"")</f>
        <v/>
      </c>
    </row>
    <row r="196">
      <c r="H196" s="2">
        <f>IFERROR(VLOOKUP(G196,ราคาคอร์ส!$A:$C,2,FALSE)/60,"")</f>
        <v/>
      </c>
      <c r="I196" s="2">
        <f>IFERROR(VLOOKUP(G196,ราคาคอร์ส!$A:$C,3,FALSE),"")</f>
        <v/>
      </c>
    </row>
    <row r="197">
      <c r="H197" s="2">
        <f>IFERROR(VLOOKUP(G197,ราคาคอร์ส!$A:$C,2,FALSE)/60,"")</f>
        <v/>
      </c>
      <c r="I197" s="2">
        <f>IFERROR(VLOOKUP(G197,ราคาคอร์ส!$A:$C,3,FALSE),"")</f>
        <v/>
      </c>
    </row>
    <row r="198">
      <c r="H198" s="2">
        <f>IFERROR(VLOOKUP(G198,ราคาคอร์ส!$A:$C,2,FALSE)/60,"")</f>
        <v/>
      </c>
      <c r="I198" s="2">
        <f>IFERROR(VLOOKUP(G198,ราคาคอร์ส!$A:$C,3,FALSE),"")</f>
        <v/>
      </c>
    </row>
    <row r="199">
      <c r="H199" s="2">
        <f>IFERROR(VLOOKUP(G199,ราคาคอร์ส!$A:$C,2,FALSE)/60,"")</f>
        <v/>
      </c>
      <c r="I199" s="2">
        <f>IFERROR(VLOOKUP(G199,ราคาคอร์ส!$A:$C,3,FALSE),"")</f>
        <v/>
      </c>
    </row>
    <row r="200">
      <c r="H200" s="2">
        <f>IFERROR(VLOOKUP(G200,ราคาคอร์ส!$A:$C,2,FALSE)/60,"")</f>
        <v/>
      </c>
      <c r="I200" s="2">
        <f>IFERROR(VLOOKUP(G200,ราคาคอร์ส!$A:$C,3,FALSE),"")</f>
        <v/>
      </c>
    </row>
  </sheetData>
  <conditionalFormatting sqref="C2:C25">
    <cfRule type="expression" priority="1" dxfId="0">
      <formula>C2="ไม่ว่าง"</formula>
    </cfRule>
    <cfRule type="expression" priority="2" dxfId="1">
      <formula>C2="ว่าง"</formula>
    </cfRule>
    <cfRule type="expression" priority="3" dxfId="0">
      <formula>C2="ไม่ว่าง"</formula>
    </cfRule>
    <cfRule type="expression" priority="4" dxfId="1">
      <formula>C2="ว่าง"</formula>
    </cfRule>
  </conditionalFormatting>
  <dataValidations count="4">
    <dataValidation sqref="C2:C25" showDropDown="0" showInputMessage="0" showErrorMessage="0" allowBlank="1" type="list">
      <formula1>"ว่าง,ไม่ว่าง"</formula1>
    </dataValidation>
    <dataValidation sqref="B2:B25" showDropDown="0" showInputMessage="0" showErrorMessage="0" allowBlank="1" type="list">
      <formula1>"12:00,13:00,14:00,15:00,16:00,17:00,18:00,19:00,20:00,21:00,22:00,23:00"</formula1>
    </dataValidation>
    <dataValidation sqref="G2:G25" showDropDown="0" showInputMessage="0" showErrorMessage="0" allowBlank="1" type="list">
      <formula1>"นวดน้ำมันขิงร้อน,นวดน้ำมันทองคำ,นวดน้ำมันอโรมา,นวดคอ บ่า ไหล่,42C Treatment,สครับผิวเกลือสปา,ขัดผิว+มาร์ค+นวดน้ำมันอโรมา,นวดแผนไทย,นวดฝ่าเท้า"</formula1>
    </dataValidation>
    <dataValidation sqref="J2:J25" showDropDown="0" showInputMessage="0" showErrorMessage="0" allowBlank="1" type="list">
      <formula1>"Walk-in,ลูกค้าโรงแรม"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ShopName_TH</t>
        </is>
      </c>
      <c r="B2" s="5" t="inlineStr">
        <is>
          <t>ยินดีต้อนรับสู่บริการสปา</t>
        </is>
      </c>
    </row>
    <row r="3">
      <c r="A3" s="2" t="inlineStr">
        <is>
          <t>ShopName_EN</t>
        </is>
      </c>
      <c r="B3" s="5" t="inlineStr">
        <is>
          <t>Welcome to Our Spa</t>
        </is>
      </c>
    </row>
    <row r="4">
      <c r="A4" s="2" t="inlineStr">
        <is>
          <t>Tagline_TH</t>
        </is>
      </c>
      <c r="B4" s="5" t="inlineStr">
        <is>
          <t>กรุณาตรวจสอบคิวว่างของหมอนวด</t>
        </is>
      </c>
    </row>
    <row r="5">
      <c r="A5" s="2" t="inlineStr">
        <is>
          <t>ContactLabel_TH</t>
        </is>
      </c>
      <c r="B5" s="5" t="inlineStr">
        <is>
          <t>สอบถามข้อมูลเพิ่มเติม</t>
        </is>
      </c>
    </row>
    <row r="6">
      <c r="A6" s="2" t="inlineStr">
        <is>
          <t>Phone</t>
        </is>
      </c>
      <c r="B6" s="5" t="inlineStr">
        <is>
          <t>02-123-4567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20" customWidth="1" min="4" max="4"/>
  </cols>
  <sheetData>
    <row r="2" ht="34" customHeight="1">
      <c r="B2" s="13" t="inlineStr">
        <is>
          <t>🔍 เช็คคิวว่างของหมอนวด</t>
        </is>
      </c>
    </row>
    <row r="4" ht="26" customHeight="1">
      <c r="B4" s="19" t="inlineStr">
        <is>
          <t>หมอนวด:</t>
        </is>
      </c>
      <c r="C4" s="15" t="n"/>
      <c r="D4" s="21" t="n"/>
    </row>
    <row r="5" ht="26" customHeight="1">
      <c r="B5" s="19" t="inlineStr">
        <is>
          <t>เวลาเริ่ม (เช่น 14:00):</t>
        </is>
      </c>
      <c r="C5" s="15" t="n"/>
      <c r="D5" s="21" t="n"/>
    </row>
    <row r="6" ht="26" customHeight="1">
      <c r="B6" s="19" t="inlineStr">
        <is>
          <t>เวลาสิ้นสุด (เช่น 15:30):</t>
        </is>
      </c>
      <c r="C6" s="15" t="n"/>
      <c r="D6" s="21" t="n"/>
    </row>
    <row r="8" ht="30" customHeight="1">
      <c r="B8" s="16" t="inlineStr">
        <is>
          <t>ผลลัพธ์:</t>
        </is>
      </c>
      <c r="C8" s="20">
        <f>IF(OR(C4="",C5="",C6=""),"⬅ กรอกข้อมูลให้ครบก่อน",CHECK_QUEUE(C4,C5,C6))</f>
        <v/>
      </c>
      <c r="D8" s="22" t="n"/>
    </row>
    <row r="9" ht="30" customHeight="1">
      <c r="C9" s="23" t="n"/>
      <c r="D9" s="24" t="n"/>
    </row>
    <row r="11">
      <c r="B11" s="11" t="inlineStr">
        <is>
          <t>วิธีใช้: เลือกหมอนวด กรอกเวลาเริ่ม-สิ้นสุด แล้วดูผลลัพธ์ด้านบน ไม่กระทบข้อมูลในแท็บ "ตารางเวลาหมอนวด" แต่อย่างใด
ต้องอัปเดตฟังก์ชัน CHECK_QUEUE ใน Apps Script เป็นเวอร์ชันใหม่ก่อนใช้งานได้ (ดูโค้ดในแชท) เพราะโครงสร้างตารางเปลี่ยนไป</t>
        </is>
      </c>
    </row>
    <row r="12"/>
    <row r="13"/>
    <row r="14"/>
  </sheetData>
  <mergeCells count="6">
    <mergeCell ref="C8:D9"/>
    <mergeCell ref="B11:D14"/>
    <mergeCell ref="C6:D6"/>
    <mergeCell ref="C5:D5"/>
    <mergeCell ref="B2:D2"/>
    <mergeCell ref="C4:D4"/>
  </mergeCells>
  <dataValidations count="1">
    <dataValidation sqref="C4" showDropDown="0" showInputMessage="0" showErrorMessage="0" allowBlank="1" type="list">
      <formula1>"1 - ภา,2 - เมล"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</cols>
  <sheetData>
    <row r="1" ht="26" customHeight="1">
      <c r="A1" s="7" t="inlineStr">
        <is>
          <t>คอร์สการนวด</t>
        </is>
      </c>
      <c r="B1" s="7" t="inlineStr">
        <is>
          <t>ระยะเวลา (นาที)</t>
        </is>
      </c>
      <c r="C1" s="7" t="inlineStr">
        <is>
          <t>ราคา (บาท)</t>
        </is>
      </c>
    </row>
    <row r="2">
      <c r="A2" s="30" t="inlineStr">
        <is>
          <t>นวดน้ำมันขิงร้อน</t>
        </is>
      </c>
      <c r="B2" s="30" t="n">
        <v>60</v>
      </c>
      <c r="C2" s="30" t="n">
        <v>900</v>
      </c>
    </row>
    <row r="3">
      <c r="A3" s="31" t="inlineStr">
        <is>
          <t>นวดน้ำมันทองคำ</t>
        </is>
      </c>
      <c r="B3" s="31" t="n">
        <v>90</v>
      </c>
      <c r="C3" s="31" t="n">
        <v>1400</v>
      </c>
    </row>
    <row r="4">
      <c r="A4" s="30" t="inlineStr">
        <is>
          <t>นวดน้ำมันอโรมา</t>
        </is>
      </c>
      <c r="B4" s="30" t="n">
        <v>60</v>
      </c>
      <c r="C4" s="30" t="n">
        <v>900</v>
      </c>
    </row>
    <row r="5">
      <c r="A5" s="31" t="inlineStr">
        <is>
          <t>นวดคอ บ่า ไหล่</t>
        </is>
      </c>
      <c r="B5" s="31" t="n">
        <v>30</v>
      </c>
      <c r="C5" s="31" t="n">
        <v>500</v>
      </c>
    </row>
    <row r="6">
      <c r="A6" s="30" t="inlineStr">
        <is>
          <t>42C Treatment</t>
        </is>
      </c>
      <c r="B6" s="30" t="n">
        <v>120</v>
      </c>
      <c r="C6" s="30" t="n">
        <v>2200</v>
      </c>
    </row>
    <row r="7">
      <c r="A7" s="31" t="inlineStr">
        <is>
          <t>สครับผิวเกลือสปา</t>
        </is>
      </c>
      <c r="B7" s="31" t="n">
        <v>60</v>
      </c>
      <c r="C7" s="31" t="n">
        <v>800</v>
      </c>
    </row>
    <row r="8">
      <c r="A8" s="30" t="inlineStr">
        <is>
          <t>ขัดผิว+มาร์ค+นวดน้ำมันอโรมา</t>
        </is>
      </c>
      <c r="B8" s="30" t="n">
        <v>120</v>
      </c>
      <c r="C8" s="30" t="n">
        <v>1800</v>
      </c>
    </row>
    <row r="9">
      <c r="A9" s="31" t="inlineStr">
        <is>
          <t>นวดแผนไทย</t>
        </is>
      </c>
      <c r="B9" s="31" t="n">
        <v>60</v>
      </c>
      <c r="C9" s="31" t="n">
        <v>600</v>
      </c>
    </row>
    <row r="10">
      <c r="A10" s="30" t="inlineStr">
        <is>
          <t>นวดฝ่าเท้า</t>
        </is>
      </c>
      <c r="B10" s="30" t="n">
        <v>60</v>
      </c>
      <c r="C10" s="30" t="n">
        <v>500</v>
      </c>
    </row>
    <row r="12">
      <c r="A12" s="3" t="inlineStr">
        <is>
          <t>คำอธิบาย:</t>
        </is>
      </c>
    </row>
    <row r="13">
      <c r="A13" s="4" t="inlineStr">
        <is>
          <t>ตารางนี้เป็นราคามาตรฐานอ้างอิงของแต่ละคอร์ส แก้ตัวเลขราคา/เวลาให้ตรงกับร้านจริงได้เลย</t>
        </is>
      </c>
    </row>
    <row r="14">
      <c r="A14" s="4" t="inlineStr">
        <is>
          <t>รายชื่อคอร์สตรงกับ dropdown "คอร์สการนวด" ในแท็บ "ตารางเวลาหมอนวด" พอดี ถ้าเพิ่ม/ลบคอร์สในตารางนี้ อย่าลืมไปแก้ dropdown ในแท็บนั้นให้ตรงกันด้วย</t>
        </is>
      </c>
    </row>
    <row r="15">
      <c r="A15" s="4" t="inlineStr">
        <is>
          <t>ตารางนี้ไม่ได้เชื่อมกับหน้าจอแสดงผล (จอไม่ได้อ่านราคา) ใช้เป็นข้อมูลอ้างอิงสำหรับพนักงาน/บัญชีเท่านั้น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2026-07-25T06:12:44Z</dcterms:created>
  <dcterms:modified xmlns:dcterms="http://purl.org/dc/terms/" xmlns:xsi="http://www.w3.org/2001/XMLSchema-instance" xsi:type="dcterms:W3CDTF">2026-08-03T00:17:37Z</dcterms:modified>
</cp:coreProperties>
</file>